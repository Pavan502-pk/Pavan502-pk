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QGA2052\Downloads\"/>
    </mc:Choice>
  </mc:AlternateContent>
  <xr:revisionPtr revIDLastSave="0" documentId="13_ncr:1_{09C366FE-3350-494D-BCE8-D9EA1540D98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alary" sheetId="5" r:id="rId1"/>
    <sheet name="Calculations" sheetId="2" r:id="rId2"/>
    <sheet name="Investments" sheetId="3" r:id="rId3"/>
    <sheet name="Employee Detai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vtW6bK43fS286zzpAxBqb0Nkw+ERG218vrudQtthdJc="/>
    </ext>
  </extLst>
</workbook>
</file>

<file path=xl/calcChain.xml><?xml version="1.0" encoding="utf-8"?>
<calcChain xmlns="http://schemas.openxmlformats.org/spreadsheetml/2006/main">
  <c r="U4" i="2" l="1"/>
  <c r="U5" i="2"/>
  <c r="U3" i="2"/>
  <c r="U2" i="2"/>
  <c r="O5" i="2"/>
  <c r="O4" i="2"/>
  <c r="O3" i="2"/>
  <c r="K5" i="2"/>
  <c r="K4" i="2"/>
  <c r="K3" i="2"/>
  <c r="M5" i="2"/>
  <c r="M4" i="2"/>
  <c r="J5" i="2"/>
  <c r="J4" i="2"/>
  <c r="M3" i="2"/>
  <c r="J3" i="2"/>
  <c r="P2" i="2"/>
  <c r="D5" i="2"/>
  <c r="D4" i="2"/>
  <c r="D3" i="2"/>
  <c r="D2" i="2"/>
  <c r="C5" i="2"/>
  <c r="C4" i="2"/>
  <c r="C3" i="2"/>
  <c r="C2" i="2"/>
  <c r="B5" i="2"/>
  <c r="B3" i="2"/>
  <c r="B2" i="2"/>
  <c r="U67" i="5"/>
  <c r="U68" i="5"/>
  <c r="U69" i="5"/>
  <c r="O67" i="5"/>
  <c r="O68" i="5"/>
  <c r="O69" i="5"/>
  <c r="O48" i="5"/>
  <c r="U48" i="5" s="1"/>
  <c r="O49" i="5"/>
  <c r="U49" i="5" s="1"/>
  <c r="O50" i="5"/>
  <c r="U50" i="5" s="1"/>
  <c r="O51" i="5"/>
  <c r="U51" i="5" s="1"/>
  <c r="O52" i="5"/>
  <c r="U52" i="5" s="1"/>
  <c r="O53" i="5"/>
  <c r="U53" i="5" s="1"/>
  <c r="O54" i="5"/>
  <c r="U54" i="5" s="1"/>
  <c r="O55" i="5"/>
  <c r="U55" i="5" s="1"/>
  <c r="O56" i="5"/>
  <c r="U56" i="5" s="1"/>
  <c r="O57" i="5"/>
  <c r="U57" i="5" s="1"/>
  <c r="O58" i="5"/>
  <c r="U58" i="5" s="1"/>
  <c r="O59" i="5"/>
  <c r="U59" i="5" s="1"/>
  <c r="O60" i="5"/>
  <c r="U60" i="5" s="1"/>
  <c r="O61" i="5"/>
  <c r="U61" i="5" s="1"/>
  <c r="O62" i="5"/>
  <c r="U62" i="5" s="1"/>
  <c r="O63" i="5"/>
  <c r="U63" i="5" s="1"/>
  <c r="O64" i="5"/>
  <c r="U64" i="5" s="1"/>
  <c r="O65" i="5"/>
  <c r="U65" i="5" s="1"/>
  <c r="O66" i="5"/>
  <c r="U66" i="5" s="1"/>
  <c r="O45" i="5"/>
  <c r="U45" i="5" s="1"/>
  <c r="O46" i="5"/>
  <c r="U46" i="5" s="1"/>
  <c r="O47" i="5"/>
  <c r="U47" i="5" s="1"/>
  <c r="O30" i="5"/>
  <c r="U30" i="5" s="1"/>
  <c r="O31" i="5"/>
  <c r="U31" i="5" s="1"/>
  <c r="O32" i="5"/>
  <c r="U32" i="5" s="1"/>
  <c r="O33" i="5"/>
  <c r="U33" i="5" s="1"/>
  <c r="O34" i="5"/>
  <c r="U34" i="5" s="1"/>
  <c r="O35" i="5"/>
  <c r="U35" i="5" s="1"/>
  <c r="O36" i="5"/>
  <c r="U36" i="5" s="1"/>
  <c r="O37" i="5"/>
  <c r="U37" i="5" s="1"/>
  <c r="O38" i="5"/>
  <c r="U38" i="5" s="1"/>
  <c r="O39" i="5"/>
  <c r="U39" i="5" s="1"/>
  <c r="O40" i="5"/>
  <c r="U40" i="5" s="1"/>
  <c r="O41" i="5"/>
  <c r="U41" i="5" s="1"/>
  <c r="O42" i="5"/>
  <c r="U42" i="5" s="1"/>
  <c r="O43" i="5"/>
  <c r="U43" i="5" s="1"/>
  <c r="O44" i="5"/>
  <c r="U44" i="5" s="1"/>
  <c r="O29" i="5"/>
  <c r="U29" i="5" s="1"/>
  <c r="O28" i="5"/>
  <c r="U28" i="5" s="1"/>
  <c r="O27" i="5"/>
  <c r="U27" i="5" s="1"/>
  <c r="O26" i="5"/>
  <c r="U26" i="5" s="1"/>
  <c r="O25" i="5"/>
  <c r="U25" i="5" s="1"/>
  <c r="O24" i="5"/>
  <c r="U24" i="5" s="1"/>
  <c r="O23" i="5"/>
  <c r="U23" i="5" s="1"/>
  <c r="O22" i="5"/>
  <c r="U22" i="5" s="1"/>
  <c r="O21" i="5"/>
  <c r="U21" i="5" s="1"/>
  <c r="O20" i="5"/>
  <c r="U20" i="5" s="1"/>
  <c r="O19" i="5"/>
  <c r="U19" i="5" s="1"/>
  <c r="O16" i="5"/>
  <c r="U16" i="5" s="1"/>
  <c r="O17" i="5"/>
  <c r="U17" i="5" s="1"/>
  <c r="O18" i="5"/>
  <c r="U18" i="5" s="1"/>
  <c r="O15" i="5"/>
  <c r="U15" i="5" s="1"/>
  <c r="O14" i="5"/>
  <c r="U14" i="5" s="1"/>
  <c r="M8" i="4"/>
  <c r="N8" i="4" s="1"/>
  <c r="N7" i="4"/>
  <c r="N6" i="4"/>
  <c r="N5" i="4"/>
  <c r="T8" i="3"/>
  <c r="R8" i="3"/>
  <c r="Q8" i="3"/>
  <c r="S7" i="3"/>
  <c r="R7" i="3"/>
  <c r="Q7" i="3"/>
  <c r="T6" i="3"/>
  <c r="S6" i="3"/>
  <c r="R6" i="3"/>
  <c r="E5" i="2"/>
  <c r="E4" i="2"/>
  <c r="O9" i="2"/>
  <c r="B4" i="2" l="1"/>
  <c r="F4" i="2" s="1"/>
  <c r="O5" i="4"/>
  <c r="E2" i="2"/>
  <c r="F2" i="2" s="1"/>
  <c r="M9" i="2"/>
  <c r="E3" i="2"/>
  <c r="L4" i="2"/>
  <c r="P4" i="2" s="1"/>
  <c r="L5" i="2"/>
  <c r="P5" i="2" s="1"/>
  <c r="F5" i="2"/>
  <c r="K9" i="2" l="1"/>
  <c r="Z10" i="3" s="1"/>
  <c r="J9" i="2"/>
  <c r="F3" i="2"/>
  <c r="L3" i="2" l="1"/>
  <c r="L9" i="2" s="1"/>
  <c r="P3" i="2" l="1"/>
  <c r="P9" i="2" s="1"/>
</calcChain>
</file>

<file path=xl/sharedStrings.xml><?xml version="1.0" encoding="utf-8"?>
<sst xmlns="http://schemas.openxmlformats.org/spreadsheetml/2006/main" count="260" uniqueCount="155">
  <si>
    <t>YEAR</t>
  </si>
  <si>
    <t>MONTH</t>
  </si>
  <si>
    <t>INCOME</t>
  </si>
  <si>
    <t>DEDUCTIONS</t>
  </si>
  <si>
    <t>Employment-Type</t>
  </si>
  <si>
    <t>Employee PF Share</t>
  </si>
  <si>
    <t>Prof Tax</t>
  </si>
  <si>
    <t>Income Tax</t>
  </si>
  <si>
    <t>Employer PF Share</t>
  </si>
  <si>
    <t>Pension Share</t>
  </si>
  <si>
    <t>JUL</t>
  </si>
  <si>
    <t>Internship</t>
  </si>
  <si>
    <t>AUG</t>
  </si>
  <si>
    <t>SEP</t>
  </si>
  <si>
    <t>DEC</t>
  </si>
  <si>
    <t>JAN</t>
  </si>
  <si>
    <t>FEB</t>
  </si>
  <si>
    <t>MAR</t>
  </si>
  <si>
    <t>APR</t>
  </si>
  <si>
    <t>MAY</t>
  </si>
  <si>
    <t>JUN</t>
  </si>
  <si>
    <t>OCT</t>
  </si>
  <si>
    <t>NOV</t>
  </si>
  <si>
    <t>Employee PF</t>
  </si>
  <si>
    <t>Employer PF</t>
  </si>
  <si>
    <t>PF Total</t>
  </si>
  <si>
    <t>Yearly Total</t>
  </si>
  <si>
    <t>Employer</t>
  </si>
  <si>
    <t>PF 
(Employee + Employer)</t>
  </si>
  <si>
    <t>Professional Tax</t>
  </si>
  <si>
    <t>Pension</t>
  </si>
  <si>
    <t>Assessment Year</t>
  </si>
  <si>
    <t>Financial Year</t>
  </si>
  <si>
    <t>Tax Year</t>
  </si>
  <si>
    <t>Overall Amount</t>
  </si>
  <si>
    <t>Volante</t>
  </si>
  <si>
    <t>2024-2025</t>
  </si>
  <si>
    <t>Apr 2023 - Mar 2024</t>
  </si>
  <si>
    <t>2023-2024</t>
  </si>
  <si>
    <t>Full Time</t>
  </si>
  <si>
    <t>2025-2026</t>
  </si>
  <si>
    <t>Apr 2024 - Mar 2025</t>
  </si>
  <si>
    <t>Factset</t>
  </si>
  <si>
    <t>2026-2027</t>
  </si>
  <si>
    <t>Apr 2025 - Mar 2026</t>
  </si>
  <si>
    <t>Hca</t>
  </si>
  <si>
    <t>2027-2028</t>
  </si>
  <si>
    <t>Apr 2026 - Mar 2027</t>
  </si>
  <si>
    <t>Total</t>
  </si>
  <si>
    <t>Scheme</t>
  </si>
  <si>
    <t>Age ot Entry</t>
  </si>
  <si>
    <t>Age at Exit</t>
  </si>
  <si>
    <t>First Installment</t>
  </si>
  <si>
    <t>Last Installment</t>
  </si>
  <si>
    <t>Maturity On</t>
  </si>
  <si>
    <t>Rate of Interest (%)</t>
  </si>
  <si>
    <t>Tenure</t>
  </si>
  <si>
    <t>Insurance</t>
  </si>
  <si>
    <t>Invested Amount</t>
  </si>
  <si>
    <t>Expected Corpus</t>
  </si>
  <si>
    <t>CAGR</t>
  </si>
  <si>
    <t>XIRR</t>
  </si>
  <si>
    <t>Person</t>
  </si>
  <si>
    <t>Relation</t>
  </si>
  <si>
    <t>Organisation</t>
  </si>
  <si>
    <t>Scheme Name</t>
  </si>
  <si>
    <t>Monthly</t>
  </si>
  <si>
    <t>Yearly</t>
  </si>
  <si>
    <t>Amount</t>
  </si>
  <si>
    <t>Upto</t>
  </si>
  <si>
    <t>Quarterly</t>
  </si>
  <si>
    <t>Half-Yearly</t>
  </si>
  <si>
    <t>On Maturity</t>
  </si>
  <si>
    <t>Pavan Kalyan Mahanty</t>
  </si>
  <si>
    <t>Self</t>
  </si>
  <si>
    <t>Postal Life Insurance</t>
  </si>
  <si>
    <t>Santosh</t>
  </si>
  <si>
    <t>N.A.</t>
  </si>
  <si>
    <t>22 Years</t>
  </si>
  <si>
    <t>10,00,000</t>
  </si>
  <si>
    <t>Policy ends</t>
  </si>
  <si>
    <t>9,37,200</t>
  </si>
  <si>
    <t>21,44,000</t>
  </si>
  <si>
    <t>Life Insurance Corporation</t>
  </si>
  <si>
    <t>Jeevan Anand</t>
  </si>
  <si>
    <t>23 Years</t>
  </si>
  <si>
    <t>5,00,000</t>
  </si>
  <si>
    <t>Life Long</t>
  </si>
  <si>
    <t>5,77,806</t>
  </si>
  <si>
    <t>11,54,000</t>
  </si>
  <si>
    <t>Tumala Mahanty</t>
  </si>
  <si>
    <t>Mother</t>
  </si>
  <si>
    <t>16 Years</t>
  </si>
  <si>
    <t>1,00,000</t>
  </si>
  <si>
    <t>1,40,032</t>
  </si>
  <si>
    <t>1,74,000</t>
  </si>
  <si>
    <t>Post Office</t>
  </si>
  <si>
    <t>Time Deposit</t>
  </si>
  <si>
    <t>2 Years</t>
  </si>
  <si>
    <t>3,00,000</t>
  </si>
  <si>
    <t>Employees' Provident Fund Organisation</t>
  </si>
  <si>
    <t>Employee Contribution</t>
  </si>
  <si>
    <t>36 Years</t>
  </si>
  <si>
    <t>7,00,000</t>
  </si>
  <si>
    <t>Retirement</t>
  </si>
  <si>
    <t>EmployeName</t>
  </si>
  <si>
    <t>Employe ID</t>
  </si>
  <si>
    <t>Company Location</t>
  </si>
  <si>
    <t>Role</t>
  </si>
  <si>
    <t>Bank Name</t>
  </si>
  <si>
    <t>Bank Acc.No</t>
  </si>
  <si>
    <t>Bank IFSC</t>
  </si>
  <si>
    <t>PF Member ID</t>
  </si>
  <si>
    <t>Service-History</t>
  </si>
  <si>
    <t>Start</t>
  </si>
  <si>
    <t>End</t>
  </si>
  <si>
    <t>Overall IT Experience</t>
  </si>
  <si>
    <t>VSINT057</t>
  </si>
  <si>
    <t>Chennai</t>
  </si>
  <si>
    <t>Software Engineer-Trainee</t>
  </si>
  <si>
    <t>Internship-Paid</t>
  </si>
  <si>
    <t>Union</t>
  </si>
  <si>
    <t>017510100180659</t>
  </si>
  <si>
    <t>UBIN0801755</t>
  </si>
  <si>
    <t>VS1550</t>
  </si>
  <si>
    <t>Hyderabad</t>
  </si>
  <si>
    <t>Support Engineer</t>
  </si>
  <si>
    <t>HDFC</t>
  </si>
  <si>
    <t>50100629225079</t>
  </si>
  <si>
    <t>HDFC0008653</t>
  </si>
  <si>
    <t>APHYD21088260000011386</t>
  </si>
  <si>
    <t>Senior Specialist II</t>
  </si>
  <si>
    <t>ICICI</t>
  </si>
  <si>
    <t>ICIC0007552</t>
  </si>
  <si>
    <t>APHYD00618790000080403</t>
  </si>
  <si>
    <t>Hca HealthCare</t>
  </si>
  <si>
    <t>QGA2052</t>
  </si>
  <si>
    <t>Site Reliability Engineer II</t>
  </si>
  <si>
    <t>Bonus</t>
  </si>
  <si>
    <t>Other Allowance</t>
  </si>
  <si>
    <t>Gross Income</t>
  </si>
  <si>
    <t>Net Income</t>
  </si>
  <si>
    <t>MCA</t>
  </si>
  <si>
    <t>HRA</t>
  </si>
  <si>
    <t>BASIC</t>
  </si>
  <si>
    <t>CEA</t>
  </si>
  <si>
    <t>Shift/Oncall</t>
  </si>
  <si>
    <t>Leave Encash</t>
  </si>
  <si>
    <t>Other Earning</t>
  </si>
  <si>
    <t>Special Allowance</t>
  </si>
  <si>
    <t>Internet Allowance</t>
  </si>
  <si>
    <t xml:space="preserve">Reimbursement </t>
  </si>
  <si>
    <t>Net Income+ PF</t>
  </si>
  <si>
    <t>Over All Gross
(TakeHome + PF + Tax + Pension)</t>
  </si>
  <si>
    <t>755201503999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</si>
</sst>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#\,##\,##0\ \ "/>
    <numFmt numFmtId="165" formatCode="&quot;₹&quot;\ #\,##\,##0\ \ "/>
    <numFmt numFmtId="166" formatCode="&quot;₹&quot;\ ###,##0\ \ "/>
    <numFmt numFmtId="167" formatCode="d/mmmm/yyyy"/>
    <numFmt numFmtId="168" formatCode="dd/mmmm/yyyy"/>
    <numFmt numFmtId="169" formatCode="dd/mmm/yyyy"/>
    <numFmt numFmtId="170" formatCode="[&gt;9999999]\₹##\,##\,##\,##0;[&gt;99999]\₹##\,##\,##0;\₹##,##0"/>
    <numFmt numFmtId="171" formatCode="d/mmm/yyyy"/>
    <numFmt numFmtId="172" formatCode="[&gt;9999999]##\,##\,##\,##0;[&gt;99999]##\,##\,##0;##,##0"/>
    <numFmt numFmtId="173" formatCode="[$₹]#,##0.00"/>
    <numFmt numFmtId="174" formatCode="\₹\ 0"/>
  </numFmts>
  <fonts count="12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b/>
      <sz val="11"/>
      <color rgb="FFFF0000"/>
      <name val="Calibri"/>
    </font>
    <font>
      <sz val="1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5BF846"/>
        <bgColor rgb="FF5BF846"/>
      </patternFill>
    </fill>
    <fill>
      <patternFill patternType="solid">
        <fgColor rgb="FF00FFFF"/>
        <bgColor rgb="FF00FFFF"/>
      </patternFill>
    </fill>
    <fill>
      <patternFill patternType="solid">
        <fgColor rgb="FF74FF17"/>
        <bgColor rgb="FF74FF17"/>
      </patternFill>
    </fill>
    <fill>
      <patternFill patternType="solid">
        <fgColor rgb="FF2AE5D6"/>
        <bgColor rgb="FF2AE5D6"/>
      </patternFill>
    </fill>
    <fill>
      <patternFill patternType="solid">
        <fgColor rgb="FF00FF00"/>
        <bgColor rgb="FF00FF00"/>
      </patternFill>
    </fill>
    <fill>
      <patternFill patternType="solid">
        <fgColor rgb="FF95FF6B"/>
        <bgColor rgb="FF95FF6B"/>
      </patternFill>
    </fill>
    <fill>
      <patternFill patternType="solid">
        <fgColor rgb="FFFFFFFF"/>
        <bgColor rgb="FFFFFFFF"/>
      </patternFill>
    </fill>
    <fill>
      <patternFill patternType="solid">
        <fgColor rgb="FF31F81C"/>
        <bgColor rgb="FF5BF846"/>
      </patternFill>
    </fill>
    <fill>
      <patternFill patternType="solid">
        <fgColor rgb="FF31F81C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1">
    <xf numFmtId="0" fontId="0" fillId="0" borderId="0" xfId="0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66" fontId="4" fillId="0" borderId="3" xfId="0" applyNumberFormat="1" applyFont="1" applyBorder="1" applyAlignment="1">
      <alignment horizontal="center" vertical="center"/>
    </xf>
    <xf numFmtId="0" fontId="1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horizontal="center" vertical="center"/>
    </xf>
    <xf numFmtId="167" fontId="4" fillId="0" borderId="3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3" xfId="0" applyNumberFormat="1" applyFont="1" applyBorder="1" applyAlignment="1">
      <alignment horizontal="center" vertical="center"/>
    </xf>
    <xf numFmtId="170" fontId="4" fillId="0" borderId="3" xfId="0" applyNumberFormat="1" applyFont="1" applyBorder="1" applyAlignment="1">
      <alignment horizontal="center" vertical="center"/>
    </xf>
    <xf numFmtId="171" fontId="4" fillId="0" borderId="3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172" fontId="4" fillId="8" borderId="3" xfId="0" applyNumberFormat="1" applyFont="1" applyFill="1" applyBorder="1" applyAlignment="1">
      <alignment horizontal="center" vertical="center"/>
    </xf>
    <xf numFmtId="173" fontId="4" fillId="0" borderId="0" xfId="0" applyNumberFormat="1" applyFont="1" applyAlignment="1">
      <alignment vertical="center"/>
    </xf>
    <xf numFmtId="0" fontId="4" fillId="8" borderId="3" xfId="0" applyFont="1" applyFill="1" applyBorder="1" applyAlignment="1">
      <alignment vertical="center"/>
    </xf>
    <xf numFmtId="0" fontId="4" fillId="8" borderId="3" xfId="0" quotePrefix="1" applyFont="1" applyFill="1" applyBorder="1" applyAlignment="1">
      <alignment vertical="center"/>
    </xf>
    <xf numFmtId="169" fontId="4" fillId="8" borderId="3" xfId="0" applyNumberFormat="1" applyFont="1" applyFill="1" applyBorder="1" applyAlignment="1">
      <alignment horizontal="left" vertical="center"/>
    </xf>
    <xf numFmtId="0" fontId="4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7" fontId="4" fillId="0" borderId="14" xfId="0" applyNumberFormat="1" applyFont="1" applyBorder="1" applyAlignment="1">
      <alignment horizontal="center" vertical="center"/>
    </xf>
    <xf numFmtId="39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3" fontId="4" fillId="0" borderId="28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3" fontId="4" fillId="0" borderId="30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3" fontId="4" fillId="0" borderId="31" xfId="0" applyNumberFormat="1" applyFont="1" applyBorder="1" applyAlignment="1">
      <alignment horizontal="center" vertical="center"/>
    </xf>
    <xf numFmtId="3" fontId="4" fillId="0" borderId="32" xfId="0" applyNumberFormat="1" applyFont="1" applyBorder="1" applyAlignment="1">
      <alignment horizontal="center" vertical="center"/>
    </xf>
    <xf numFmtId="3" fontId="4" fillId="0" borderId="33" xfId="0" applyNumberFormat="1" applyFont="1" applyBorder="1" applyAlignment="1">
      <alignment horizontal="center" vertical="center"/>
    </xf>
    <xf numFmtId="3" fontId="4" fillId="0" borderId="34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3" fontId="4" fillId="0" borderId="25" xfId="0" applyNumberFormat="1" applyFont="1" applyBorder="1" applyAlignment="1">
      <alignment horizontal="center" vertical="center"/>
    </xf>
    <xf numFmtId="3" fontId="4" fillId="0" borderId="26" xfId="0" applyNumberFormat="1" applyFont="1" applyBorder="1" applyAlignment="1">
      <alignment horizontal="center" vertical="center"/>
    </xf>
    <xf numFmtId="3" fontId="4" fillId="0" borderId="39" xfId="0" applyNumberFormat="1" applyFont="1" applyBorder="1" applyAlignment="1">
      <alignment horizontal="center" vertical="center"/>
    </xf>
    <xf numFmtId="3" fontId="4" fillId="0" borderId="29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3" fontId="4" fillId="0" borderId="37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3" fontId="4" fillId="0" borderId="40" xfId="0" applyNumberFormat="1" applyFont="1" applyBorder="1" applyAlignment="1">
      <alignment horizontal="center" vertical="center"/>
    </xf>
    <xf numFmtId="3" fontId="4" fillId="0" borderId="38" xfId="0" applyNumberFormat="1" applyFont="1" applyBorder="1" applyAlignment="1">
      <alignment horizontal="center" vertical="center"/>
    </xf>
    <xf numFmtId="3" fontId="4" fillId="0" borderId="41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39" fontId="4" fillId="0" borderId="33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vertical="center"/>
    </xf>
    <xf numFmtId="37" fontId="4" fillId="10" borderId="19" xfId="0" applyNumberFormat="1" applyFont="1" applyFill="1" applyBorder="1" applyAlignment="1">
      <alignment horizontal="center" vertical="center"/>
    </xf>
    <xf numFmtId="37" fontId="4" fillId="10" borderId="18" xfId="0" applyNumberFormat="1" applyFont="1" applyFill="1" applyBorder="1" applyAlignment="1">
      <alignment horizontal="center" vertical="center"/>
    </xf>
    <xf numFmtId="37" fontId="4" fillId="10" borderId="36" xfId="0" applyNumberFormat="1" applyFont="1" applyFill="1" applyBorder="1" applyAlignment="1">
      <alignment horizontal="center" vertical="center"/>
    </xf>
    <xf numFmtId="39" fontId="4" fillId="10" borderId="36" xfId="0" applyNumberFormat="1" applyFont="1" applyFill="1" applyBorder="1" applyAlignment="1">
      <alignment horizontal="center" vertical="center"/>
    </xf>
    <xf numFmtId="39" fontId="4" fillId="10" borderId="19" xfId="0" applyNumberFormat="1" applyFont="1" applyFill="1" applyBorder="1" applyAlignment="1">
      <alignment horizontal="center" vertical="center"/>
    </xf>
    <xf numFmtId="3" fontId="4" fillId="13" borderId="31" xfId="0" applyNumberFormat="1" applyFont="1" applyFill="1" applyBorder="1" applyAlignment="1">
      <alignment horizontal="center" vertical="center"/>
    </xf>
    <xf numFmtId="3" fontId="4" fillId="13" borderId="34" xfId="0" applyNumberFormat="1" applyFont="1" applyFill="1" applyBorder="1" applyAlignment="1">
      <alignment horizontal="center" vertical="center"/>
    </xf>
    <xf numFmtId="3" fontId="4" fillId="13" borderId="38" xfId="0" applyNumberFormat="1" applyFont="1" applyFill="1" applyBorder="1" applyAlignment="1">
      <alignment horizontal="center" vertical="center"/>
    </xf>
    <xf numFmtId="39" fontId="4" fillId="13" borderId="31" xfId="0" applyNumberFormat="1" applyFont="1" applyFill="1" applyBorder="1" applyAlignment="1">
      <alignment horizontal="center" vertical="center"/>
    </xf>
    <xf numFmtId="39" fontId="4" fillId="13" borderId="34" xfId="0" applyNumberFormat="1" applyFont="1" applyFill="1" applyBorder="1" applyAlignment="1">
      <alignment horizontal="center" vertical="center"/>
    </xf>
    <xf numFmtId="0" fontId="9" fillId="9" borderId="43" xfId="0" applyFont="1" applyFill="1" applyBorder="1" applyAlignment="1">
      <alignment horizontal="center" vertical="center"/>
    </xf>
    <xf numFmtId="0" fontId="10" fillId="10" borderId="44" xfId="0" applyFont="1" applyFill="1" applyBorder="1" applyAlignment="1">
      <alignment vertical="center"/>
    </xf>
    <xf numFmtId="0" fontId="9" fillId="9" borderId="44" xfId="0" applyFont="1" applyFill="1" applyBorder="1" applyAlignment="1">
      <alignment horizontal="center" vertical="center"/>
    </xf>
    <xf numFmtId="0" fontId="9" fillId="9" borderId="45" xfId="0" applyFont="1" applyFill="1" applyBorder="1" applyAlignment="1">
      <alignment horizontal="center" vertical="center"/>
    </xf>
    <xf numFmtId="3" fontId="4" fillId="10" borderId="38" xfId="0" applyNumberFormat="1" applyFont="1" applyFill="1" applyBorder="1" applyAlignment="1">
      <alignment horizontal="center" vertical="center" wrapText="1"/>
    </xf>
    <xf numFmtId="3" fontId="4" fillId="10" borderId="31" xfId="0" applyNumberFormat="1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3" fontId="4" fillId="10" borderId="49" xfId="0" applyNumberFormat="1" applyFont="1" applyFill="1" applyBorder="1" applyAlignment="1">
      <alignment horizontal="center" vertical="center" wrapText="1"/>
    </xf>
    <xf numFmtId="3" fontId="4" fillId="13" borderId="29" xfId="0" applyNumberFormat="1" applyFont="1" applyFill="1" applyBorder="1" applyAlignment="1">
      <alignment horizontal="center" vertical="center"/>
    </xf>
    <xf numFmtId="37" fontId="4" fillId="10" borderId="35" xfId="0" applyNumberFormat="1" applyFont="1" applyFill="1" applyBorder="1" applyAlignment="1">
      <alignment horizontal="center" vertical="center"/>
    </xf>
    <xf numFmtId="3" fontId="0" fillId="10" borderId="31" xfId="0" applyNumberFormat="1" applyFill="1" applyBorder="1" applyAlignment="1">
      <alignment horizontal="center" vertical="center"/>
    </xf>
    <xf numFmtId="37" fontId="4" fillId="10" borderId="34" xfId="0" applyNumberFormat="1" applyFont="1" applyFill="1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3" fontId="4" fillId="13" borderId="51" xfId="0" applyNumberFormat="1" applyFont="1" applyFill="1" applyBorder="1" applyAlignment="1">
      <alignment horizontal="center" vertical="center" wrapText="1"/>
    </xf>
    <xf numFmtId="3" fontId="4" fillId="13" borderId="23" xfId="0" applyNumberFormat="1" applyFont="1" applyFill="1" applyBorder="1" applyAlignment="1">
      <alignment horizontal="center" vertical="center" wrapText="1"/>
    </xf>
    <xf numFmtId="3" fontId="4" fillId="13" borderId="52" xfId="0" applyNumberFormat="1" applyFont="1" applyFill="1" applyBorder="1" applyAlignment="1">
      <alignment horizontal="center" vertical="center" wrapText="1"/>
    </xf>
    <xf numFmtId="3" fontId="4" fillId="13" borderId="23" xfId="0" applyNumberFormat="1" applyFont="1" applyFill="1" applyBorder="1" applyAlignment="1">
      <alignment horizontal="center" vertical="center"/>
    </xf>
    <xf numFmtId="3" fontId="4" fillId="13" borderId="53" xfId="0" applyNumberFormat="1" applyFont="1" applyFill="1" applyBorder="1" applyAlignment="1">
      <alignment horizontal="center" vertical="center"/>
    </xf>
    <xf numFmtId="3" fontId="4" fillId="0" borderId="54" xfId="0" applyNumberFormat="1" applyFont="1" applyBorder="1" applyAlignment="1">
      <alignment horizontal="center" vertical="center"/>
    </xf>
    <xf numFmtId="3" fontId="4" fillId="0" borderId="47" xfId="0" applyNumberFormat="1" applyFont="1" applyBorder="1" applyAlignment="1">
      <alignment horizontal="center" vertical="center"/>
    </xf>
    <xf numFmtId="3" fontId="4" fillId="0" borderId="49" xfId="0" applyNumberFormat="1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174" fontId="4" fillId="0" borderId="3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9" fillId="9" borderId="18" xfId="0" applyFont="1" applyFill="1" applyBorder="1" applyAlignment="1">
      <alignment horizontal="center" vertical="center"/>
    </xf>
    <xf numFmtId="0" fontId="10" fillId="10" borderId="42" xfId="0" applyFont="1" applyFill="1" applyBorder="1" applyAlignment="1">
      <alignment vertical="center"/>
    </xf>
    <xf numFmtId="0" fontId="6" fillId="11" borderId="16" xfId="0" applyFont="1" applyFill="1" applyBorder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1" borderId="22" xfId="0" applyFont="1" applyFill="1" applyBorder="1" applyAlignment="1">
      <alignment horizontal="center" vertical="center"/>
    </xf>
    <xf numFmtId="0" fontId="7" fillId="12" borderId="24" xfId="0" applyFont="1" applyFill="1" applyBorder="1" applyAlignment="1">
      <alignment horizontal="center" vertical="center"/>
    </xf>
    <xf numFmtId="0" fontId="7" fillId="12" borderId="46" xfId="0" applyFont="1" applyFill="1" applyBorder="1" applyAlignment="1">
      <alignment horizontal="center" vertical="center"/>
    </xf>
    <xf numFmtId="0" fontId="9" fillId="9" borderId="24" xfId="0" applyFont="1" applyFill="1" applyBorder="1" applyAlignment="1">
      <alignment horizontal="center" vertical="center"/>
    </xf>
    <xf numFmtId="0" fontId="9" fillId="9" borderId="46" xfId="0" applyFont="1" applyFill="1" applyBorder="1" applyAlignment="1">
      <alignment horizontal="center" vertical="center"/>
    </xf>
    <xf numFmtId="0" fontId="9" fillId="9" borderId="42" xfId="0" applyFont="1" applyFill="1" applyBorder="1" applyAlignment="1">
      <alignment horizontal="center" vertical="center"/>
    </xf>
    <xf numFmtId="0" fontId="6" fillId="11" borderId="20" xfId="0" applyFont="1" applyFill="1" applyBorder="1" applyAlignment="1">
      <alignment horizontal="center" vertical="center"/>
    </xf>
    <xf numFmtId="0" fontId="6" fillId="11" borderId="21" xfId="0" applyFont="1" applyFill="1" applyBorder="1" applyAlignment="1">
      <alignment horizontal="center" vertical="center"/>
    </xf>
    <xf numFmtId="0" fontId="6" fillId="11" borderId="27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Calculations-style" pivot="0" count="2" xr9:uid="{00000000-0011-0000-FFFF-FFFF00000000}">
      <tableStyleElement type="firstRowStripe" dxfId="2"/>
      <tableStyleElement type="secondRowStripe" dxfId="1"/>
    </tableStyle>
  </tableStyles>
  <colors>
    <mruColors>
      <color rgb="FF31F8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1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Calculation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3B74-BAD2-4AC5-855B-CB4FC748170F}">
  <dimension ref="A1:U69"/>
  <sheetViews>
    <sheetView topLeftCell="A37" zoomScaleNormal="100" workbookViewId="0">
      <selection activeCell="O57" sqref="O57"/>
    </sheetView>
  </sheetViews>
  <sheetFormatPr defaultRowHeight="14.5" x14ac:dyDescent="0.35"/>
  <cols>
    <col min="1" max="1" width="5.08984375" bestFit="1" customWidth="1"/>
    <col min="2" max="2" width="7.453125" bestFit="1" customWidth="1"/>
    <col min="3" max="7" width="7.6328125" customWidth="1"/>
    <col min="8" max="8" width="14.7265625" bestFit="1" customWidth="1"/>
    <col min="9" max="9" width="10.54296875" bestFit="1" customWidth="1"/>
    <col min="10" max="11" width="12.26953125" customWidth="1"/>
    <col min="12" max="12" width="15.6328125" bestFit="1" customWidth="1"/>
    <col min="13" max="13" width="16.6328125" bestFit="1" customWidth="1"/>
    <col min="14" max="14" width="14.7265625" bestFit="1" customWidth="1"/>
    <col min="15" max="15" width="12.1796875" bestFit="1" customWidth="1"/>
    <col min="16" max="16" width="16.6328125" bestFit="1" customWidth="1"/>
    <col min="17" max="17" width="8.81640625" customWidth="1"/>
    <col min="18" max="18" width="11.36328125" customWidth="1"/>
    <col min="19" max="19" width="17.453125" customWidth="1"/>
    <col min="20" max="20" width="14.54296875" customWidth="1"/>
    <col min="21" max="21" width="10.36328125" style="31" bestFit="1" customWidth="1"/>
  </cols>
  <sheetData>
    <row r="1" spans="1:21" ht="18.5" customHeight="1" thickBot="1" x14ac:dyDescent="0.4">
      <c r="A1" s="108" t="s">
        <v>0</v>
      </c>
      <c r="B1" s="108" t="s">
        <v>1</v>
      </c>
      <c r="C1" s="110" t="s">
        <v>2</v>
      </c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2"/>
      <c r="P1" s="118" t="s">
        <v>3</v>
      </c>
      <c r="Q1" s="119"/>
      <c r="R1" s="120"/>
      <c r="S1" s="115" t="s">
        <v>8</v>
      </c>
      <c r="T1" s="108" t="s">
        <v>9</v>
      </c>
      <c r="U1" s="113" t="s">
        <v>141</v>
      </c>
    </row>
    <row r="2" spans="1:21" ht="15" thickBot="1" x14ac:dyDescent="0.4">
      <c r="A2" s="109"/>
      <c r="B2" s="109"/>
      <c r="C2" s="75" t="s">
        <v>144</v>
      </c>
      <c r="D2" s="76" t="s">
        <v>143</v>
      </c>
      <c r="E2" s="76" t="s">
        <v>142</v>
      </c>
      <c r="F2" s="76" t="s">
        <v>138</v>
      </c>
      <c r="G2" s="76" t="s">
        <v>145</v>
      </c>
      <c r="H2" s="76" t="s">
        <v>139</v>
      </c>
      <c r="I2" s="77" t="s">
        <v>146</v>
      </c>
      <c r="J2" s="77" t="s">
        <v>147</v>
      </c>
      <c r="K2" s="77" t="s">
        <v>148</v>
      </c>
      <c r="L2" s="77" t="s">
        <v>149</v>
      </c>
      <c r="M2" s="77" t="s">
        <v>150</v>
      </c>
      <c r="N2" s="77" t="s">
        <v>151</v>
      </c>
      <c r="O2" s="89" t="s">
        <v>140</v>
      </c>
      <c r="P2" s="75" t="s">
        <v>5</v>
      </c>
      <c r="Q2" s="77" t="s">
        <v>6</v>
      </c>
      <c r="R2" s="78" t="s">
        <v>7</v>
      </c>
      <c r="S2" s="116"/>
      <c r="T2" s="117"/>
      <c r="U2" s="114"/>
    </row>
    <row r="3" spans="1:21" x14ac:dyDescent="0.35">
      <c r="A3" s="54">
        <v>2022</v>
      </c>
      <c r="B3" s="57" t="s">
        <v>10</v>
      </c>
      <c r="C3" s="58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90">
        <v>8667</v>
      </c>
      <c r="P3" s="56"/>
      <c r="Q3" s="58"/>
      <c r="R3" s="59"/>
      <c r="S3" s="60"/>
      <c r="T3" s="57"/>
      <c r="U3" s="79">
        <v>8667</v>
      </c>
    </row>
    <row r="4" spans="1:21" x14ac:dyDescent="0.35">
      <c r="A4" s="45">
        <v>2022</v>
      </c>
      <c r="B4" s="29" t="s">
        <v>12</v>
      </c>
      <c r="C4" s="30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91">
        <v>20000</v>
      </c>
      <c r="P4" s="38"/>
      <c r="Q4" s="30"/>
      <c r="R4" s="40"/>
      <c r="S4" s="51"/>
      <c r="T4" s="29"/>
      <c r="U4" s="80">
        <v>20000</v>
      </c>
    </row>
    <row r="5" spans="1:21" x14ac:dyDescent="0.35">
      <c r="A5" s="45">
        <v>2022</v>
      </c>
      <c r="B5" s="29" t="s">
        <v>13</v>
      </c>
      <c r="C5" s="30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91">
        <v>20000</v>
      </c>
      <c r="P5" s="38"/>
      <c r="Q5" s="30"/>
      <c r="R5" s="40"/>
      <c r="S5" s="51"/>
      <c r="T5" s="29"/>
      <c r="U5" s="80">
        <v>20000</v>
      </c>
    </row>
    <row r="6" spans="1:21" x14ac:dyDescent="0.35">
      <c r="A6" s="45">
        <v>2022</v>
      </c>
      <c r="B6" s="29" t="s">
        <v>14</v>
      </c>
      <c r="C6" s="30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91">
        <v>20000</v>
      </c>
      <c r="P6" s="38"/>
      <c r="Q6" s="30"/>
      <c r="R6" s="40"/>
      <c r="S6" s="51"/>
      <c r="T6" s="29"/>
      <c r="U6" s="80">
        <v>20000</v>
      </c>
    </row>
    <row r="7" spans="1:21" x14ac:dyDescent="0.35">
      <c r="A7" s="45">
        <v>2023</v>
      </c>
      <c r="B7" s="29" t="s">
        <v>15</v>
      </c>
      <c r="C7" s="30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91">
        <v>20000</v>
      </c>
      <c r="P7" s="38"/>
      <c r="Q7" s="30"/>
      <c r="R7" s="40"/>
      <c r="S7" s="51"/>
      <c r="T7" s="29"/>
      <c r="U7" s="80">
        <v>20000</v>
      </c>
    </row>
    <row r="8" spans="1:21" x14ac:dyDescent="0.35">
      <c r="A8" s="45">
        <v>2023</v>
      </c>
      <c r="B8" s="29" t="s">
        <v>16</v>
      </c>
      <c r="C8" s="30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91">
        <v>20000</v>
      </c>
      <c r="P8" s="38"/>
      <c r="Q8" s="30"/>
      <c r="R8" s="40"/>
      <c r="S8" s="51"/>
      <c r="T8" s="29"/>
      <c r="U8" s="80">
        <v>20000</v>
      </c>
    </row>
    <row r="9" spans="1:21" ht="15" thickBot="1" x14ac:dyDescent="0.4">
      <c r="A9" s="81">
        <v>2023</v>
      </c>
      <c r="B9" s="82" t="s">
        <v>17</v>
      </c>
      <c r="C9" s="83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92">
        <v>20000</v>
      </c>
      <c r="P9" s="96"/>
      <c r="Q9" s="83"/>
      <c r="R9" s="97"/>
      <c r="S9" s="95"/>
      <c r="T9" s="82"/>
      <c r="U9" s="84">
        <v>20000</v>
      </c>
    </row>
    <row r="10" spans="1:21" x14ac:dyDescent="0.35">
      <c r="A10" s="54">
        <v>2023</v>
      </c>
      <c r="B10" s="57" t="s">
        <v>18</v>
      </c>
      <c r="C10" s="58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90">
        <v>5162</v>
      </c>
      <c r="P10" s="56"/>
      <c r="Q10" s="58"/>
      <c r="R10" s="59"/>
      <c r="S10" s="60"/>
      <c r="T10" s="57"/>
      <c r="U10" s="79">
        <v>5162</v>
      </c>
    </row>
    <row r="11" spans="1:21" x14ac:dyDescent="0.35">
      <c r="A11" s="45">
        <v>2023</v>
      </c>
      <c r="B11" s="29" t="s">
        <v>19</v>
      </c>
      <c r="C11" s="30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91">
        <v>14667</v>
      </c>
      <c r="P11" s="38"/>
      <c r="Q11" s="30"/>
      <c r="R11" s="40"/>
      <c r="S11" s="51"/>
      <c r="T11" s="29"/>
      <c r="U11" s="80">
        <v>14667</v>
      </c>
    </row>
    <row r="12" spans="1:21" x14ac:dyDescent="0.35">
      <c r="A12" s="45">
        <v>2023</v>
      </c>
      <c r="B12" s="29" t="s">
        <v>20</v>
      </c>
      <c r="C12" s="30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91">
        <v>20000</v>
      </c>
      <c r="P12" s="38"/>
      <c r="Q12" s="30"/>
      <c r="R12" s="40"/>
      <c r="S12" s="51"/>
      <c r="T12" s="29"/>
      <c r="U12" s="80">
        <v>20000</v>
      </c>
    </row>
    <row r="13" spans="1:21" x14ac:dyDescent="0.35">
      <c r="A13" s="45">
        <v>2023</v>
      </c>
      <c r="B13" s="29" t="s">
        <v>10</v>
      </c>
      <c r="C13" s="30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91">
        <v>21871</v>
      </c>
      <c r="P13" s="38"/>
      <c r="Q13" s="30"/>
      <c r="R13" s="40"/>
      <c r="S13" s="51"/>
      <c r="T13" s="29"/>
      <c r="U13" s="80">
        <v>21871</v>
      </c>
    </row>
    <row r="14" spans="1:21" x14ac:dyDescent="0.35">
      <c r="A14" s="45">
        <v>2023</v>
      </c>
      <c r="B14" s="29" t="s">
        <v>12</v>
      </c>
      <c r="C14" s="30">
        <v>16802</v>
      </c>
      <c r="D14" s="30">
        <v>6721</v>
      </c>
      <c r="E14" s="30">
        <v>2688</v>
      </c>
      <c r="F14" s="30">
        <v>1399</v>
      </c>
      <c r="G14" s="30">
        <v>645</v>
      </c>
      <c r="H14" s="30">
        <v>3331</v>
      </c>
      <c r="I14" s="30">
        <v>700</v>
      </c>
      <c r="J14" s="30"/>
      <c r="K14" s="30"/>
      <c r="L14" s="30"/>
      <c r="M14" s="30"/>
      <c r="N14" s="30"/>
      <c r="O14" s="93">
        <f t="shared" ref="O14:O44" si="0">SUM(C14:N14)</f>
        <v>32286</v>
      </c>
      <c r="P14" s="38">
        <v>1800</v>
      </c>
      <c r="Q14" s="30">
        <v>200</v>
      </c>
      <c r="R14" s="40"/>
      <c r="S14" s="51">
        <v>766</v>
      </c>
      <c r="T14" s="30">
        <v>1250</v>
      </c>
      <c r="U14" s="87">
        <f t="shared" ref="U14:U45" si="1">O14-SUM(P14:R14)</f>
        <v>30286</v>
      </c>
    </row>
    <row r="15" spans="1:21" x14ac:dyDescent="0.35">
      <c r="A15" s="45">
        <v>2023</v>
      </c>
      <c r="B15" s="29" t="s">
        <v>13</v>
      </c>
      <c r="C15" s="30">
        <v>20834</v>
      </c>
      <c r="D15" s="30">
        <v>8334</v>
      </c>
      <c r="E15" s="30">
        <v>3333</v>
      </c>
      <c r="F15" s="30">
        <v>1735</v>
      </c>
      <c r="G15" s="30">
        <v>800</v>
      </c>
      <c r="H15" s="30">
        <v>4131</v>
      </c>
      <c r="I15" s="30">
        <v>4550</v>
      </c>
      <c r="J15" s="30"/>
      <c r="K15" s="30"/>
      <c r="L15" s="30"/>
      <c r="M15" s="30"/>
      <c r="N15" s="30"/>
      <c r="O15" s="93">
        <f t="shared" si="0"/>
        <v>43717</v>
      </c>
      <c r="P15" s="38">
        <v>1800</v>
      </c>
      <c r="Q15" s="30">
        <v>200</v>
      </c>
      <c r="R15" s="40"/>
      <c r="S15" s="51">
        <v>1250</v>
      </c>
      <c r="T15" s="30">
        <v>1250</v>
      </c>
      <c r="U15" s="87">
        <f t="shared" si="1"/>
        <v>41717</v>
      </c>
    </row>
    <row r="16" spans="1:21" x14ac:dyDescent="0.35">
      <c r="A16" s="45">
        <v>2023</v>
      </c>
      <c r="B16" s="29" t="s">
        <v>21</v>
      </c>
      <c r="C16" s="30">
        <v>20834</v>
      </c>
      <c r="D16" s="30">
        <v>8334</v>
      </c>
      <c r="E16" s="30">
        <v>3333</v>
      </c>
      <c r="F16" s="30">
        <v>1735</v>
      </c>
      <c r="G16" s="30">
        <v>800</v>
      </c>
      <c r="H16" s="30">
        <v>4131</v>
      </c>
      <c r="I16" s="30">
        <v>4550</v>
      </c>
      <c r="J16" s="30"/>
      <c r="K16" s="30"/>
      <c r="L16" s="30"/>
      <c r="M16" s="30"/>
      <c r="N16" s="30"/>
      <c r="O16" s="93">
        <f t="shared" si="0"/>
        <v>43717</v>
      </c>
      <c r="P16" s="38">
        <v>1800</v>
      </c>
      <c r="Q16" s="30">
        <v>200</v>
      </c>
      <c r="R16" s="40"/>
      <c r="S16" s="51">
        <v>1250</v>
      </c>
      <c r="T16" s="30">
        <v>1250</v>
      </c>
      <c r="U16" s="87">
        <f t="shared" si="1"/>
        <v>41717</v>
      </c>
    </row>
    <row r="17" spans="1:21" x14ac:dyDescent="0.35">
      <c r="A17" s="45">
        <v>2023</v>
      </c>
      <c r="B17" s="29" t="s">
        <v>22</v>
      </c>
      <c r="C17" s="30">
        <v>20834</v>
      </c>
      <c r="D17" s="30">
        <v>8334</v>
      </c>
      <c r="E17" s="30">
        <v>3333</v>
      </c>
      <c r="F17" s="30">
        <v>1735</v>
      </c>
      <c r="G17" s="30">
        <v>800</v>
      </c>
      <c r="H17" s="30">
        <v>4131</v>
      </c>
      <c r="I17" s="30">
        <v>4900</v>
      </c>
      <c r="J17" s="30"/>
      <c r="K17" s="30"/>
      <c r="L17" s="30"/>
      <c r="M17" s="30"/>
      <c r="N17" s="30"/>
      <c r="O17" s="93">
        <f t="shared" si="0"/>
        <v>44067</v>
      </c>
      <c r="P17" s="38">
        <v>1800</v>
      </c>
      <c r="Q17" s="30">
        <v>200</v>
      </c>
      <c r="R17" s="40"/>
      <c r="S17" s="51">
        <v>1250</v>
      </c>
      <c r="T17" s="30">
        <v>1250</v>
      </c>
      <c r="U17" s="87">
        <f t="shared" si="1"/>
        <v>42067</v>
      </c>
    </row>
    <row r="18" spans="1:21" x14ac:dyDescent="0.35">
      <c r="A18" s="45">
        <v>2023</v>
      </c>
      <c r="B18" s="29" t="s">
        <v>14</v>
      </c>
      <c r="C18" s="30">
        <v>20834</v>
      </c>
      <c r="D18" s="30">
        <v>8334</v>
      </c>
      <c r="E18" s="30">
        <v>3333</v>
      </c>
      <c r="F18" s="30">
        <v>1735</v>
      </c>
      <c r="G18" s="30">
        <v>800</v>
      </c>
      <c r="H18" s="30">
        <v>4131</v>
      </c>
      <c r="I18" s="30">
        <v>3500</v>
      </c>
      <c r="J18" s="30">
        <v>4109</v>
      </c>
      <c r="K18" s="30"/>
      <c r="L18" s="30"/>
      <c r="M18" s="30"/>
      <c r="N18" s="30"/>
      <c r="O18" s="93">
        <f t="shared" si="0"/>
        <v>46776</v>
      </c>
      <c r="P18" s="38">
        <v>1800</v>
      </c>
      <c r="Q18" s="30">
        <v>200</v>
      </c>
      <c r="R18" s="40"/>
      <c r="S18" s="51">
        <v>1250</v>
      </c>
      <c r="T18" s="30">
        <v>1250</v>
      </c>
      <c r="U18" s="87">
        <f t="shared" si="1"/>
        <v>44776</v>
      </c>
    </row>
    <row r="19" spans="1:21" x14ac:dyDescent="0.35">
      <c r="A19" s="45">
        <v>2024</v>
      </c>
      <c r="B19" s="29" t="s">
        <v>15</v>
      </c>
      <c r="C19" s="30">
        <v>20834</v>
      </c>
      <c r="D19" s="30">
        <v>8334</v>
      </c>
      <c r="E19" s="30">
        <v>3333</v>
      </c>
      <c r="F19" s="30">
        <v>1735</v>
      </c>
      <c r="G19" s="30">
        <v>800</v>
      </c>
      <c r="H19" s="30">
        <v>4131</v>
      </c>
      <c r="I19" s="30">
        <v>4900</v>
      </c>
      <c r="J19" s="30"/>
      <c r="K19" s="30"/>
      <c r="L19" s="30"/>
      <c r="M19" s="30"/>
      <c r="N19" s="30"/>
      <c r="O19" s="93">
        <f t="shared" si="0"/>
        <v>44067</v>
      </c>
      <c r="P19" s="38">
        <v>1800</v>
      </c>
      <c r="Q19" s="30">
        <v>200</v>
      </c>
      <c r="R19" s="40"/>
      <c r="S19" s="51">
        <v>1250</v>
      </c>
      <c r="T19" s="30">
        <v>1250</v>
      </c>
      <c r="U19" s="87">
        <f t="shared" si="1"/>
        <v>42067</v>
      </c>
    </row>
    <row r="20" spans="1:21" x14ac:dyDescent="0.35">
      <c r="A20" s="45">
        <v>2024</v>
      </c>
      <c r="B20" s="29" t="s">
        <v>16</v>
      </c>
      <c r="C20" s="30">
        <v>20834</v>
      </c>
      <c r="D20" s="30">
        <v>8334</v>
      </c>
      <c r="E20" s="30">
        <v>3333</v>
      </c>
      <c r="F20" s="30">
        <v>1735</v>
      </c>
      <c r="G20" s="30">
        <v>800</v>
      </c>
      <c r="H20" s="30">
        <v>4131</v>
      </c>
      <c r="I20" s="30">
        <v>9100</v>
      </c>
      <c r="J20" s="30"/>
      <c r="K20" s="30"/>
      <c r="L20" s="30"/>
      <c r="M20" s="30"/>
      <c r="N20" s="30"/>
      <c r="O20" s="93">
        <f t="shared" si="0"/>
        <v>48267</v>
      </c>
      <c r="P20" s="38">
        <v>1800</v>
      </c>
      <c r="Q20" s="30">
        <v>200</v>
      </c>
      <c r="R20" s="40"/>
      <c r="S20" s="51">
        <v>2500</v>
      </c>
      <c r="T20" s="30"/>
      <c r="U20" s="87">
        <f t="shared" si="1"/>
        <v>46267</v>
      </c>
    </row>
    <row r="21" spans="1:21" ht="15" thickBot="1" x14ac:dyDescent="0.4">
      <c r="A21" s="61">
        <v>2024</v>
      </c>
      <c r="B21" s="62" t="s">
        <v>17</v>
      </c>
      <c r="C21" s="42">
        <v>20834</v>
      </c>
      <c r="D21" s="42">
        <v>8334</v>
      </c>
      <c r="E21" s="42">
        <v>3333</v>
      </c>
      <c r="F21" s="42">
        <v>1735</v>
      </c>
      <c r="G21" s="42">
        <v>800</v>
      </c>
      <c r="H21" s="42">
        <v>4131</v>
      </c>
      <c r="I21" s="42">
        <v>4550</v>
      </c>
      <c r="J21" s="42"/>
      <c r="K21" s="42"/>
      <c r="L21" s="42"/>
      <c r="M21" s="42"/>
      <c r="N21" s="42"/>
      <c r="O21" s="94">
        <f t="shared" si="0"/>
        <v>43717</v>
      </c>
      <c r="P21" s="41">
        <v>1800</v>
      </c>
      <c r="Q21" s="42">
        <v>200</v>
      </c>
      <c r="R21" s="43"/>
      <c r="S21" s="52">
        <v>2500</v>
      </c>
      <c r="T21" s="42"/>
      <c r="U21" s="88">
        <f t="shared" si="1"/>
        <v>41717</v>
      </c>
    </row>
    <row r="22" spans="1:21" x14ac:dyDescent="0.35">
      <c r="A22" s="44">
        <v>2024</v>
      </c>
      <c r="B22" s="37" t="s">
        <v>18</v>
      </c>
      <c r="C22" s="36">
        <v>22084</v>
      </c>
      <c r="D22" s="34">
        <v>8834</v>
      </c>
      <c r="E22" s="34">
        <v>3333</v>
      </c>
      <c r="F22" s="34"/>
      <c r="G22" s="34">
        <v>800</v>
      </c>
      <c r="H22" s="34">
        <v>6466</v>
      </c>
      <c r="I22" s="34">
        <v>4850</v>
      </c>
      <c r="J22" s="34"/>
      <c r="K22" s="34"/>
      <c r="L22" s="34"/>
      <c r="M22" s="34"/>
      <c r="N22" s="34"/>
      <c r="O22" s="85">
        <f t="shared" si="0"/>
        <v>46367</v>
      </c>
      <c r="P22" s="36">
        <v>1800</v>
      </c>
      <c r="Q22" s="34">
        <v>200</v>
      </c>
      <c r="R22" s="53"/>
      <c r="S22" s="50">
        <v>2650</v>
      </c>
      <c r="T22" s="53"/>
      <c r="U22" s="86">
        <f t="shared" si="1"/>
        <v>44367</v>
      </c>
    </row>
    <row r="23" spans="1:21" x14ac:dyDescent="0.35">
      <c r="A23" s="45">
        <v>2024</v>
      </c>
      <c r="B23" s="39" t="s">
        <v>19</v>
      </c>
      <c r="C23" s="38">
        <v>22084</v>
      </c>
      <c r="D23" s="30">
        <v>8834</v>
      </c>
      <c r="E23" s="30">
        <v>3333</v>
      </c>
      <c r="F23" s="30"/>
      <c r="G23" s="30">
        <v>800</v>
      </c>
      <c r="H23" s="30">
        <v>6466</v>
      </c>
      <c r="I23" s="30">
        <v>4600</v>
      </c>
      <c r="J23" s="30"/>
      <c r="K23" s="30"/>
      <c r="L23" s="30"/>
      <c r="M23" s="30"/>
      <c r="N23" s="30"/>
      <c r="O23" s="70">
        <f t="shared" si="0"/>
        <v>46117</v>
      </c>
      <c r="P23" s="38">
        <v>1800</v>
      </c>
      <c r="Q23" s="30">
        <v>200</v>
      </c>
      <c r="R23" s="40"/>
      <c r="S23" s="51">
        <v>2650</v>
      </c>
      <c r="T23" s="40"/>
      <c r="U23" s="67">
        <f t="shared" si="1"/>
        <v>44117</v>
      </c>
    </row>
    <row r="24" spans="1:21" x14ac:dyDescent="0.35">
      <c r="A24" s="45">
        <v>2024</v>
      </c>
      <c r="B24" s="39" t="s">
        <v>20</v>
      </c>
      <c r="C24" s="38">
        <v>22084</v>
      </c>
      <c r="D24" s="30">
        <v>8834</v>
      </c>
      <c r="E24" s="30">
        <v>3333</v>
      </c>
      <c r="F24" s="30"/>
      <c r="G24" s="30">
        <v>800</v>
      </c>
      <c r="H24" s="30">
        <v>6466</v>
      </c>
      <c r="I24" s="30">
        <v>2700</v>
      </c>
      <c r="J24" s="30"/>
      <c r="K24" s="30"/>
      <c r="L24" s="30"/>
      <c r="M24" s="30"/>
      <c r="N24" s="30"/>
      <c r="O24" s="70">
        <f t="shared" si="0"/>
        <v>44217</v>
      </c>
      <c r="P24" s="38">
        <v>1800</v>
      </c>
      <c r="Q24" s="30">
        <v>200</v>
      </c>
      <c r="R24" s="40"/>
      <c r="S24" s="51">
        <v>2650</v>
      </c>
      <c r="T24" s="40"/>
      <c r="U24" s="67">
        <f t="shared" si="1"/>
        <v>42217</v>
      </c>
    </row>
    <row r="25" spans="1:21" x14ac:dyDescent="0.35">
      <c r="A25" s="45">
        <v>2024</v>
      </c>
      <c r="B25" s="39" t="s">
        <v>10</v>
      </c>
      <c r="C25" s="38">
        <v>22084</v>
      </c>
      <c r="D25" s="30">
        <v>8834</v>
      </c>
      <c r="E25" s="30">
        <v>3333</v>
      </c>
      <c r="F25" s="30"/>
      <c r="G25" s="30">
        <v>800</v>
      </c>
      <c r="H25" s="30">
        <v>6466</v>
      </c>
      <c r="I25" s="30">
        <v>3850</v>
      </c>
      <c r="J25" s="32"/>
      <c r="K25" s="32"/>
      <c r="L25" s="32"/>
      <c r="M25" s="32"/>
      <c r="N25" s="30"/>
      <c r="O25" s="70">
        <f t="shared" si="0"/>
        <v>45367</v>
      </c>
      <c r="P25" s="38">
        <v>1800</v>
      </c>
      <c r="Q25" s="30">
        <v>200</v>
      </c>
      <c r="R25" s="40"/>
      <c r="S25" s="51">
        <v>2650</v>
      </c>
      <c r="T25" s="40"/>
      <c r="U25" s="67">
        <f t="shared" si="1"/>
        <v>43367</v>
      </c>
    </row>
    <row r="26" spans="1:21" x14ac:dyDescent="0.35">
      <c r="A26" s="45">
        <v>2024</v>
      </c>
      <c r="B26" s="39" t="s">
        <v>12</v>
      </c>
      <c r="C26" s="38">
        <v>22084</v>
      </c>
      <c r="D26" s="30">
        <v>8834</v>
      </c>
      <c r="E26" s="30">
        <v>3333</v>
      </c>
      <c r="F26" s="30"/>
      <c r="G26" s="30">
        <v>800</v>
      </c>
      <c r="H26" s="30">
        <v>6466</v>
      </c>
      <c r="I26" s="30">
        <v>3450</v>
      </c>
      <c r="J26" s="30"/>
      <c r="K26" s="30"/>
      <c r="L26" s="30"/>
      <c r="M26" s="30"/>
      <c r="N26" s="30"/>
      <c r="O26" s="70">
        <f t="shared" si="0"/>
        <v>44967</v>
      </c>
      <c r="P26" s="38">
        <v>1800</v>
      </c>
      <c r="Q26" s="30">
        <v>200</v>
      </c>
      <c r="R26" s="40"/>
      <c r="S26" s="51">
        <v>2650</v>
      </c>
      <c r="T26" s="40"/>
      <c r="U26" s="67">
        <f t="shared" si="1"/>
        <v>42967</v>
      </c>
    </row>
    <row r="27" spans="1:21" x14ac:dyDescent="0.35">
      <c r="A27" s="45">
        <v>2024</v>
      </c>
      <c r="B27" s="39" t="s">
        <v>13</v>
      </c>
      <c r="C27" s="38">
        <v>22084</v>
      </c>
      <c r="D27" s="30">
        <v>8834</v>
      </c>
      <c r="E27" s="30">
        <v>3333</v>
      </c>
      <c r="F27" s="30"/>
      <c r="G27" s="30">
        <v>800</v>
      </c>
      <c r="H27" s="30">
        <v>6466</v>
      </c>
      <c r="I27" s="30">
        <v>5250</v>
      </c>
      <c r="J27" s="30"/>
      <c r="K27" s="30"/>
      <c r="L27" s="30"/>
      <c r="M27" s="30"/>
      <c r="N27" s="30"/>
      <c r="O27" s="70">
        <f t="shared" si="0"/>
        <v>46767</v>
      </c>
      <c r="P27" s="38">
        <v>1800</v>
      </c>
      <c r="Q27" s="30">
        <v>200</v>
      </c>
      <c r="R27" s="40"/>
      <c r="S27" s="51">
        <v>2650</v>
      </c>
      <c r="T27" s="40"/>
      <c r="U27" s="67">
        <f t="shared" si="1"/>
        <v>44767</v>
      </c>
    </row>
    <row r="28" spans="1:21" x14ac:dyDescent="0.35">
      <c r="A28" s="45">
        <v>2024</v>
      </c>
      <c r="B28" s="39" t="s">
        <v>21</v>
      </c>
      <c r="C28" s="38">
        <v>22084</v>
      </c>
      <c r="D28" s="30">
        <v>8834</v>
      </c>
      <c r="E28" s="30">
        <v>3333</v>
      </c>
      <c r="F28" s="30"/>
      <c r="G28" s="30">
        <v>800</v>
      </c>
      <c r="H28" s="30">
        <v>6466</v>
      </c>
      <c r="I28" s="30">
        <v>3150</v>
      </c>
      <c r="J28" s="30"/>
      <c r="K28" s="30"/>
      <c r="L28" s="30"/>
      <c r="M28" s="30"/>
      <c r="N28" s="30"/>
      <c r="O28" s="70">
        <f t="shared" si="0"/>
        <v>44667</v>
      </c>
      <c r="P28" s="38">
        <v>1800</v>
      </c>
      <c r="Q28" s="30">
        <v>200</v>
      </c>
      <c r="R28" s="40"/>
      <c r="S28" s="51">
        <v>2650</v>
      </c>
      <c r="T28" s="40"/>
      <c r="U28" s="67">
        <f t="shared" si="1"/>
        <v>42667</v>
      </c>
    </row>
    <row r="29" spans="1:21" x14ac:dyDescent="0.35">
      <c r="A29" s="45">
        <v>2024</v>
      </c>
      <c r="B29" s="39" t="s">
        <v>22</v>
      </c>
      <c r="C29" s="38">
        <v>22084</v>
      </c>
      <c r="D29" s="30">
        <v>8834</v>
      </c>
      <c r="E29" s="30">
        <v>3333</v>
      </c>
      <c r="F29" s="30"/>
      <c r="G29" s="30">
        <v>800</v>
      </c>
      <c r="H29" s="30">
        <v>6466</v>
      </c>
      <c r="I29" s="30">
        <v>7350</v>
      </c>
      <c r="J29" s="30"/>
      <c r="K29" s="30"/>
      <c r="L29" s="30"/>
      <c r="M29" s="30"/>
      <c r="N29" s="30"/>
      <c r="O29" s="70">
        <f t="shared" si="0"/>
        <v>48867</v>
      </c>
      <c r="P29" s="38">
        <v>1800</v>
      </c>
      <c r="Q29" s="30">
        <v>200</v>
      </c>
      <c r="R29" s="40"/>
      <c r="S29" s="51">
        <v>2650</v>
      </c>
      <c r="T29" s="40"/>
      <c r="U29" s="67">
        <f t="shared" si="1"/>
        <v>46867</v>
      </c>
    </row>
    <row r="30" spans="1:21" x14ac:dyDescent="0.35">
      <c r="A30" s="45">
        <v>2024</v>
      </c>
      <c r="B30" s="39" t="s">
        <v>14</v>
      </c>
      <c r="C30" s="38">
        <v>22084</v>
      </c>
      <c r="D30" s="30">
        <v>8834</v>
      </c>
      <c r="E30" s="30">
        <v>3333</v>
      </c>
      <c r="F30" s="30"/>
      <c r="G30" s="30">
        <v>800</v>
      </c>
      <c r="H30" s="30">
        <v>6466</v>
      </c>
      <c r="I30" s="30">
        <v>6250</v>
      </c>
      <c r="J30" s="33">
        <v>10890.41</v>
      </c>
      <c r="K30" s="33"/>
      <c r="L30" s="33"/>
      <c r="M30" s="33"/>
      <c r="N30" s="30"/>
      <c r="O30" s="73">
        <f t="shared" si="0"/>
        <v>58657.41</v>
      </c>
      <c r="P30" s="38">
        <v>1800</v>
      </c>
      <c r="Q30" s="30">
        <v>200</v>
      </c>
      <c r="R30" s="40"/>
      <c r="S30" s="51">
        <v>2650</v>
      </c>
      <c r="T30" s="40"/>
      <c r="U30" s="68">
        <f t="shared" si="1"/>
        <v>56657.41</v>
      </c>
    </row>
    <row r="31" spans="1:21" x14ac:dyDescent="0.35">
      <c r="A31" s="45">
        <v>2025</v>
      </c>
      <c r="B31" s="39" t="s">
        <v>15</v>
      </c>
      <c r="C31" s="38">
        <v>22084</v>
      </c>
      <c r="D31" s="30">
        <v>8834</v>
      </c>
      <c r="E31" s="30">
        <v>3333</v>
      </c>
      <c r="F31" s="30"/>
      <c r="G31" s="30">
        <v>800</v>
      </c>
      <c r="H31" s="30">
        <v>6466</v>
      </c>
      <c r="I31" s="30">
        <v>7950</v>
      </c>
      <c r="J31" s="30"/>
      <c r="K31" s="30"/>
      <c r="L31" s="30"/>
      <c r="M31" s="30"/>
      <c r="N31" s="30"/>
      <c r="O31" s="70">
        <f t="shared" si="0"/>
        <v>49467</v>
      </c>
      <c r="P31" s="38">
        <v>1800</v>
      </c>
      <c r="Q31" s="30">
        <v>200</v>
      </c>
      <c r="R31" s="40"/>
      <c r="S31" s="51">
        <v>2650</v>
      </c>
      <c r="T31" s="40"/>
      <c r="U31" s="67">
        <f t="shared" si="1"/>
        <v>47467</v>
      </c>
    </row>
    <row r="32" spans="1:21" x14ac:dyDescent="0.35">
      <c r="A32" s="45">
        <v>2025</v>
      </c>
      <c r="B32" s="39" t="s">
        <v>16</v>
      </c>
      <c r="C32" s="38">
        <v>22084</v>
      </c>
      <c r="D32" s="30">
        <v>8834</v>
      </c>
      <c r="E32" s="30">
        <v>3333</v>
      </c>
      <c r="F32" s="30"/>
      <c r="G32" s="30">
        <v>800</v>
      </c>
      <c r="H32" s="30">
        <v>6466</v>
      </c>
      <c r="I32" s="30">
        <v>12900</v>
      </c>
      <c r="J32" s="30"/>
      <c r="K32" s="30"/>
      <c r="L32" s="30"/>
      <c r="M32" s="30"/>
      <c r="N32" s="30"/>
      <c r="O32" s="70">
        <f t="shared" si="0"/>
        <v>54417</v>
      </c>
      <c r="P32" s="38">
        <v>1800</v>
      </c>
      <c r="Q32" s="30">
        <v>200</v>
      </c>
      <c r="R32" s="40"/>
      <c r="S32" s="51">
        <v>2650</v>
      </c>
      <c r="T32" s="40"/>
      <c r="U32" s="67">
        <f t="shared" si="1"/>
        <v>52417</v>
      </c>
    </row>
    <row r="33" spans="1:21" ht="15" thickBot="1" x14ac:dyDescent="0.4">
      <c r="A33" s="61">
        <v>2025</v>
      </c>
      <c r="B33" s="48" t="s">
        <v>17</v>
      </c>
      <c r="C33" s="41">
        <v>23629</v>
      </c>
      <c r="D33" s="42">
        <v>9452</v>
      </c>
      <c r="E33" s="42">
        <v>3333</v>
      </c>
      <c r="F33" s="42"/>
      <c r="G33" s="42">
        <v>800</v>
      </c>
      <c r="H33" s="42">
        <v>7209</v>
      </c>
      <c r="I33" s="42">
        <v>4500</v>
      </c>
      <c r="J33" s="42"/>
      <c r="K33" s="63">
        <v>6183.33</v>
      </c>
      <c r="L33" s="42"/>
      <c r="M33" s="42"/>
      <c r="N33" s="42"/>
      <c r="O33" s="74">
        <f t="shared" si="0"/>
        <v>55106.33</v>
      </c>
      <c r="P33" s="41">
        <v>1800</v>
      </c>
      <c r="Q33" s="42">
        <v>200</v>
      </c>
      <c r="R33" s="43"/>
      <c r="S33" s="52">
        <v>2835</v>
      </c>
      <c r="T33" s="43"/>
      <c r="U33" s="69">
        <f t="shared" si="1"/>
        <v>53106.33</v>
      </c>
    </row>
    <row r="34" spans="1:21" x14ac:dyDescent="0.35">
      <c r="A34" s="54">
        <v>2025</v>
      </c>
      <c r="B34" s="55" t="s">
        <v>18</v>
      </c>
      <c r="C34" s="56">
        <v>23629</v>
      </c>
      <c r="D34" s="58">
        <v>9452</v>
      </c>
      <c r="E34" s="58">
        <v>3333</v>
      </c>
      <c r="F34" s="58"/>
      <c r="G34" s="58">
        <v>800</v>
      </c>
      <c r="H34" s="58">
        <v>7209</v>
      </c>
      <c r="I34" s="58">
        <v>9450</v>
      </c>
      <c r="J34" s="58"/>
      <c r="K34" s="58"/>
      <c r="L34" s="58"/>
      <c r="M34" s="58"/>
      <c r="N34" s="58"/>
      <c r="O34" s="72">
        <f t="shared" si="0"/>
        <v>53873</v>
      </c>
      <c r="P34" s="56">
        <v>1800</v>
      </c>
      <c r="Q34" s="58">
        <v>200</v>
      </c>
      <c r="R34" s="59"/>
      <c r="S34" s="60">
        <v>2835</v>
      </c>
      <c r="T34" s="59"/>
      <c r="U34" s="66">
        <f t="shared" si="1"/>
        <v>51873</v>
      </c>
    </row>
    <row r="35" spans="1:21" x14ac:dyDescent="0.35">
      <c r="A35" s="45">
        <v>2025</v>
      </c>
      <c r="B35" s="39" t="s">
        <v>19</v>
      </c>
      <c r="C35" s="38">
        <v>23629</v>
      </c>
      <c r="D35" s="30">
        <v>9452</v>
      </c>
      <c r="E35" s="30">
        <v>3333</v>
      </c>
      <c r="F35" s="30"/>
      <c r="G35" s="30">
        <v>800</v>
      </c>
      <c r="H35" s="30">
        <v>7209</v>
      </c>
      <c r="I35" s="30">
        <v>9900</v>
      </c>
      <c r="J35" s="30"/>
      <c r="K35" s="30"/>
      <c r="L35" s="30"/>
      <c r="M35" s="30"/>
      <c r="N35" s="30"/>
      <c r="O35" s="70">
        <f t="shared" si="0"/>
        <v>54323</v>
      </c>
      <c r="P35" s="38">
        <v>1800</v>
      </c>
      <c r="Q35" s="30">
        <v>200</v>
      </c>
      <c r="R35" s="40"/>
      <c r="S35" s="51">
        <v>2835</v>
      </c>
      <c r="T35" s="40"/>
      <c r="U35" s="67">
        <f t="shared" si="1"/>
        <v>52323</v>
      </c>
    </row>
    <row r="36" spans="1:21" x14ac:dyDescent="0.35">
      <c r="A36" s="45">
        <v>2025</v>
      </c>
      <c r="B36" s="39" t="s">
        <v>20</v>
      </c>
      <c r="C36" s="38">
        <v>23629</v>
      </c>
      <c r="D36" s="30">
        <v>9452</v>
      </c>
      <c r="E36" s="30">
        <v>3333</v>
      </c>
      <c r="F36" s="30"/>
      <c r="G36" s="30">
        <v>800</v>
      </c>
      <c r="H36" s="30">
        <v>7209</v>
      </c>
      <c r="I36" s="30">
        <v>7950</v>
      </c>
      <c r="J36" s="30"/>
      <c r="K36" s="30"/>
      <c r="L36" s="30"/>
      <c r="M36" s="30"/>
      <c r="N36" s="30"/>
      <c r="O36" s="70">
        <f t="shared" si="0"/>
        <v>52373</v>
      </c>
      <c r="P36" s="38">
        <v>1800</v>
      </c>
      <c r="Q36" s="30">
        <v>200</v>
      </c>
      <c r="R36" s="40"/>
      <c r="S36" s="51">
        <v>2835</v>
      </c>
      <c r="T36" s="40"/>
      <c r="U36" s="67">
        <f t="shared" si="1"/>
        <v>50373</v>
      </c>
    </row>
    <row r="37" spans="1:21" x14ac:dyDescent="0.35">
      <c r="A37" s="45">
        <v>2025</v>
      </c>
      <c r="B37" s="39" t="s">
        <v>10</v>
      </c>
      <c r="C37" s="38">
        <v>23629</v>
      </c>
      <c r="D37" s="30">
        <v>9452</v>
      </c>
      <c r="E37" s="30">
        <v>3333</v>
      </c>
      <c r="F37" s="30"/>
      <c r="G37" s="30">
        <v>800</v>
      </c>
      <c r="H37" s="30">
        <v>7209</v>
      </c>
      <c r="I37" s="30">
        <v>8550</v>
      </c>
      <c r="J37" s="30"/>
      <c r="K37" s="30"/>
      <c r="L37" s="30"/>
      <c r="M37" s="30"/>
      <c r="N37" s="30"/>
      <c r="O37" s="70">
        <f t="shared" si="0"/>
        <v>52973</v>
      </c>
      <c r="P37" s="38">
        <v>1800</v>
      </c>
      <c r="Q37" s="30">
        <v>200</v>
      </c>
      <c r="R37" s="40"/>
      <c r="S37" s="51">
        <v>2835</v>
      </c>
      <c r="T37" s="40"/>
      <c r="U37" s="67">
        <f t="shared" si="1"/>
        <v>50973</v>
      </c>
    </row>
    <row r="38" spans="1:21" x14ac:dyDescent="0.35">
      <c r="A38" s="45">
        <v>2025</v>
      </c>
      <c r="B38" s="39" t="s">
        <v>12</v>
      </c>
      <c r="C38" s="38">
        <v>23629</v>
      </c>
      <c r="D38" s="30">
        <v>9452</v>
      </c>
      <c r="E38" s="30">
        <v>3333</v>
      </c>
      <c r="F38" s="30"/>
      <c r="G38" s="30">
        <v>800</v>
      </c>
      <c r="H38" s="30">
        <v>7209</v>
      </c>
      <c r="I38" s="30">
        <v>12600</v>
      </c>
      <c r="J38" s="30"/>
      <c r="K38" s="30"/>
      <c r="L38" s="30"/>
      <c r="M38" s="30"/>
      <c r="N38" s="30"/>
      <c r="O38" s="70">
        <f t="shared" si="0"/>
        <v>57023</v>
      </c>
      <c r="P38" s="38">
        <v>1800</v>
      </c>
      <c r="Q38" s="29">
        <v>200</v>
      </c>
      <c r="R38" s="39"/>
      <c r="S38" s="51">
        <v>2835</v>
      </c>
      <c r="T38" s="40"/>
      <c r="U38" s="67">
        <f t="shared" si="1"/>
        <v>55023</v>
      </c>
    </row>
    <row r="39" spans="1:21" x14ac:dyDescent="0.35">
      <c r="A39" s="45">
        <v>2025</v>
      </c>
      <c r="B39" s="39" t="s">
        <v>13</v>
      </c>
      <c r="C39" s="38">
        <v>23629</v>
      </c>
      <c r="D39" s="30">
        <v>9452</v>
      </c>
      <c r="E39" s="30">
        <v>3333</v>
      </c>
      <c r="F39" s="30"/>
      <c r="G39" s="30">
        <v>800</v>
      </c>
      <c r="H39" s="30">
        <v>7209</v>
      </c>
      <c r="I39" s="30">
        <v>8850</v>
      </c>
      <c r="J39" s="30"/>
      <c r="K39" s="30"/>
      <c r="L39" s="30"/>
      <c r="M39" s="30"/>
      <c r="N39" s="30"/>
      <c r="O39" s="70">
        <f t="shared" si="0"/>
        <v>53273</v>
      </c>
      <c r="P39" s="38">
        <v>2318</v>
      </c>
      <c r="Q39" s="29">
        <v>200</v>
      </c>
      <c r="R39" s="39"/>
      <c r="S39" s="51">
        <v>1068</v>
      </c>
      <c r="T39" s="40">
        <v>1250</v>
      </c>
      <c r="U39" s="67">
        <f t="shared" si="1"/>
        <v>50755</v>
      </c>
    </row>
    <row r="40" spans="1:21" x14ac:dyDescent="0.35">
      <c r="A40" s="45">
        <v>2025</v>
      </c>
      <c r="B40" s="39" t="s">
        <v>21</v>
      </c>
      <c r="C40" s="38">
        <v>23629</v>
      </c>
      <c r="D40" s="30">
        <v>9452</v>
      </c>
      <c r="E40" s="30">
        <v>3333</v>
      </c>
      <c r="F40" s="30"/>
      <c r="G40" s="30">
        <v>800</v>
      </c>
      <c r="H40" s="30">
        <v>7209</v>
      </c>
      <c r="I40" s="30">
        <v>7950</v>
      </c>
      <c r="J40" s="30"/>
      <c r="K40" s="30"/>
      <c r="L40" s="30"/>
      <c r="M40" s="30"/>
      <c r="N40" s="30"/>
      <c r="O40" s="70">
        <f t="shared" si="0"/>
        <v>52373</v>
      </c>
      <c r="P40" s="38">
        <v>2318</v>
      </c>
      <c r="Q40" s="29">
        <v>200</v>
      </c>
      <c r="R40" s="39"/>
      <c r="S40" s="51">
        <v>1068</v>
      </c>
      <c r="T40" s="40">
        <v>1250</v>
      </c>
      <c r="U40" s="67">
        <f t="shared" si="1"/>
        <v>49855</v>
      </c>
    </row>
    <row r="41" spans="1:21" x14ac:dyDescent="0.35">
      <c r="A41" s="45">
        <v>2025</v>
      </c>
      <c r="B41" s="39" t="s">
        <v>22</v>
      </c>
      <c r="C41" s="38">
        <v>23629</v>
      </c>
      <c r="D41" s="30">
        <v>9452</v>
      </c>
      <c r="E41" s="30">
        <v>3333</v>
      </c>
      <c r="F41" s="30"/>
      <c r="G41" s="30">
        <v>800</v>
      </c>
      <c r="H41" s="30">
        <v>7209</v>
      </c>
      <c r="I41" s="30">
        <v>8850</v>
      </c>
      <c r="J41" s="30"/>
      <c r="K41" s="30"/>
      <c r="L41" s="30"/>
      <c r="M41" s="30"/>
      <c r="N41" s="30"/>
      <c r="O41" s="70">
        <f t="shared" si="0"/>
        <v>53273</v>
      </c>
      <c r="P41" s="38">
        <v>2318</v>
      </c>
      <c r="Q41" s="29">
        <v>200</v>
      </c>
      <c r="R41" s="39"/>
      <c r="S41" s="51">
        <v>1068</v>
      </c>
      <c r="T41" s="40">
        <v>1250</v>
      </c>
      <c r="U41" s="67">
        <f t="shared" si="1"/>
        <v>50755</v>
      </c>
    </row>
    <row r="42" spans="1:21" x14ac:dyDescent="0.35">
      <c r="A42" s="45">
        <v>2025</v>
      </c>
      <c r="B42" s="39" t="s">
        <v>14</v>
      </c>
      <c r="C42" s="38">
        <v>22841</v>
      </c>
      <c r="D42" s="30">
        <v>9137</v>
      </c>
      <c r="E42" s="30">
        <v>3222</v>
      </c>
      <c r="F42" s="30"/>
      <c r="G42" s="30">
        <v>773</v>
      </c>
      <c r="H42" s="30">
        <v>6969</v>
      </c>
      <c r="I42" s="30">
        <v>9750</v>
      </c>
      <c r="J42" s="33">
        <v>8545.34</v>
      </c>
      <c r="K42" s="30"/>
      <c r="L42" s="30"/>
      <c r="M42" s="30"/>
      <c r="N42" s="30"/>
      <c r="O42" s="73">
        <f t="shared" si="0"/>
        <v>61237.34</v>
      </c>
      <c r="P42" s="38">
        <v>2271</v>
      </c>
      <c r="Q42" s="29">
        <v>200</v>
      </c>
      <c r="R42" s="39"/>
      <c r="S42" s="51">
        <v>1021</v>
      </c>
      <c r="T42" s="40">
        <v>1250</v>
      </c>
      <c r="U42" s="68">
        <f t="shared" si="1"/>
        <v>58766.34</v>
      </c>
    </row>
    <row r="43" spans="1:21" x14ac:dyDescent="0.35">
      <c r="A43" s="46">
        <v>2026</v>
      </c>
      <c r="B43" s="39" t="s">
        <v>15</v>
      </c>
      <c r="C43" s="38">
        <v>32789</v>
      </c>
      <c r="D43" s="30">
        <v>13115</v>
      </c>
      <c r="E43" s="30"/>
      <c r="F43" s="30"/>
      <c r="G43" s="30"/>
      <c r="H43" s="30"/>
      <c r="I43" s="30"/>
      <c r="J43" s="30"/>
      <c r="K43" s="30"/>
      <c r="L43" s="30">
        <v>47779</v>
      </c>
      <c r="M43" s="30">
        <v>1645</v>
      </c>
      <c r="N43" s="30">
        <v>3599</v>
      </c>
      <c r="O43" s="70">
        <f t="shared" si="0"/>
        <v>98927</v>
      </c>
      <c r="P43" s="38">
        <v>3935</v>
      </c>
      <c r="Q43" s="29">
        <v>200</v>
      </c>
      <c r="R43" s="39"/>
      <c r="S43" s="51">
        <v>2444</v>
      </c>
      <c r="T43" s="40">
        <v>1491</v>
      </c>
      <c r="U43" s="67">
        <f t="shared" si="1"/>
        <v>94792</v>
      </c>
    </row>
    <row r="44" spans="1:21" x14ac:dyDescent="0.35">
      <c r="A44" s="46">
        <v>2026</v>
      </c>
      <c r="B44" s="39" t="s">
        <v>16</v>
      </c>
      <c r="C44" s="38">
        <v>29896</v>
      </c>
      <c r="D44" s="30">
        <v>11958</v>
      </c>
      <c r="E44" s="30"/>
      <c r="F44" s="30"/>
      <c r="G44" s="30"/>
      <c r="H44" s="30"/>
      <c r="I44" s="30"/>
      <c r="J44" s="30"/>
      <c r="K44" s="30"/>
      <c r="L44" s="30">
        <v>43563</v>
      </c>
      <c r="M44" s="30">
        <v>1500</v>
      </c>
      <c r="N44" s="30"/>
      <c r="O44" s="70">
        <f t="shared" si="0"/>
        <v>86917</v>
      </c>
      <c r="P44" s="38">
        <v>3588</v>
      </c>
      <c r="Q44" s="29">
        <v>200</v>
      </c>
      <c r="R44" s="39"/>
      <c r="S44" s="51">
        <v>2338</v>
      </c>
      <c r="T44" s="40">
        <v>1250</v>
      </c>
      <c r="U44" s="67">
        <f t="shared" si="1"/>
        <v>83129</v>
      </c>
    </row>
    <row r="45" spans="1:21" ht="15" thickBot="1" x14ac:dyDescent="0.4">
      <c r="A45" s="47">
        <v>2026</v>
      </c>
      <c r="B45" s="48" t="s">
        <v>17</v>
      </c>
      <c r="C45" s="41">
        <v>29896</v>
      </c>
      <c r="D45" s="42">
        <v>11958</v>
      </c>
      <c r="E45" s="42"/>
      <c r="F45" s="42"/>
      <c r="G45" s="42"/>
      <c r="H45" s="42"/>
      <c r="I45" s="42"/>
      <c r="J45" s="42"/>
      <c r="K45" s="42"/>
      <c r="L45" s="42">
        <v>43563</v>
      </c>
      <c r="M45" s="42">
        <v>1500</v>
      </c>
      <c r="N45" s="42"/>
      <c r="O45" s="71">
        <f t="shared" ref="O45:O69" si="2">SUM(C45:N45)</f>
        <v>86917</v>
      </c>
      <c r="P45" s="41">
        <v>3588</v>
      </c>
      <c r="Q45" s="62">
        <v>200</v>
      </c>
      <c r="R45" s="48"/>
      <c r="S45" s="52">
        <v>2338</v>
      </c>
      <c r="T45" s="43">
        <v>1250</v>
      </c>
      <c r="U45" s="65">
        <f t="shared" si="1"/>
        <v>83129</v>
      </c>
    </row>
    <row r="46" spans="1:21" x14ac:dyDescent="0.35">
      <c r="A46" s="64">
        <v>2026</v>
      </c>
      <c r="B46" s="55" t="s">
        <v>18</v>
      </c>
      <c r="C46" s="56">
        <v>51250</v>
      </c>
      <c r="D46" s="58">
        <v>25625</v>
      </c>
      <c r="E46" s="58"/>
      <c r="F46" s="58"/>
      <c r="G46" s="58"/>
      <c r="H46" s="58"/>
      <c r="I46" s="58"/>
      <c r="J46" s="58"/>
      <c r="K46" s="58"/>
      <c r="L46" s="58">
        <v>8542</v>
      </c>
      <c r="M46" s="58">
        <v>1500</v>
      </c>
      <c r="N46" s="58"/>
      <c r="O46" s="72">
        <f t="shared" si="2"/>
        <v>86917</v>
      </c>
      <c r="P46" s="56">
        <v>3588</v>
      </c>
      <c r="Q46" s="57">
        <v>200</v>
      </c>
      <c r="R46" s="55"/>
      <c r="S46" s="60">
        <v>2338</v>
      </c>
      <c r="T46" s="59">
        <v>1250</v>
      </c>
      <c r="U46" s="66">
        <f t="shared" ref="U46:U66" si="3">O46-SUM(P46:R46)</f>
        <v>83129</v>
      </c>
    </row>
    <row r="47" spans="1:21" x14ac:dyDescent="0.35">
      <c r="A47" s="46">
        <v>2026</v>
      </c>
      <c r="B47" s="39" t="s">
        <v>19</v>
      </c>
      <c r="C47" s="38">
        <v>46290</v>
      </c>
      <c r="D47" s="30">
        <v>23145</v>
      </c>
      <c r="E47" s="30"/>
      <c r="F47" s="30"/>
      <c r="G47" s="30"/>
      <c r="H47" s="30"/>
      <c r="I47" s="30"/>
      <c r="J47" s="30"/>
      <c r="K47" s="30"/>
      <c r="L47" s="30">
        <v>7715</v>
      </c>
      <c r="M47" s="30">
        <v>1355</v>
      </c>
      <c r="N47" s="30"/>
      <c r="O47" s="70">
        <f t="shared" si="2"/>
        <v>78505</v>
      </c>
      <c r="P47" s="38">
        <v>3240</v>
      </c>
      <c r="Q47" s="29">
        <v>200</v>
      </c>
      <c r="R47" s="39"/>
      <c r="S47" s="51"/>
      <c r="T47" s="40"/>
      <c r="U47" s="67">
        <f t="shared" si="3"/>
        <v>75065</v>
      </c>
    </row>
    <row r="48" spans="1:21" x14ac:dyDescent="0.35">
      <c r="A48" s="46">
        <v>2026</v>
      </c>
      <c r="B48" s="39" t="s">
        <v>20</v>
      </c>
      <c r="C48" s="38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70">
        <f t="shared" si="2"/>
        <v>0</v>
      </c>
      <c r="P48" s="38"/>
      <c r="Q48" s="30"/>
      <c r="R48" s="40"/>
      <c r="S48" s="51"/>
      <c r="T48" s="40"/>
      <c r="U48" s="67">
        <f t="shared" si="3"/>
        <v>0</v>
      </c>
    </row>
    <row r="49" spans="1:21" x14ac:dyDescent="0.35">
      <c r="A49" s="46">
        <v>2026</v>
      </c>
      <c r="B49" s="39" t="s">
        <v>10</v>
      </c>
      <c r="C49" s="38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70">
        <f t="shared" si="2"/>
        <v>0</v>
      </c>
      <c r="P49" s="38"/>
      <c r="Q49" s="30"/>
      <c r="R49" s="40"/>
      <c r="S49" s="51"/>
      <c r="T49" s="40"/>
      <c r="U49" s="67">
        <f t="shared" si="3"/>
        <v>0</v>
      </c>
    </row>
    <row r="50" spans="1:21" x14ac:dyDescent="0.35">
      <c r="A50" s="46">
        <v>2026</v>
      </c>
      <c r="B50" s="39" t="s">
        <v>12</v>
      </c>
      <c r="C50" s="38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70">
        <f t="shared" si="2"/>
        <v>0</v>
      </c>
      <c r="P50" s="38"/>
      <c r="Q50" s="30"/>
      <c r="R50" s="40"/>
      <c r="S50" s="51"/>
      <c r="T50" s="40"/>
      <c r="U50" s="67">
        <f t="shared" si="3"/>
        <v>0</v>
      </c>
    </row>
    <row r="51" spans="1:21" x14ac:dyDescent="0.35">
      <c r="A51" s="46">
        <v>2026</v>
      </c>
      <c r="B51" s="39" t="s">
        <v>13</v>
      </c>
      <c r="C51" s="38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70">
        <f t="shared" si="2"/>
        <v>0</v>
      </c>
      <c r="P51" s="38"/>
      <c r="Q51" s="30"/>
      <c r="R51" s="40"/>
      <c r="S51" s="51"/>
      <c r="T51" s="40"/>
      <c r="U51" s="67">
        <f t="shared" si="3"/>
        <v>0</v>
      </c>
    </row>
    <row r="52" spans="1:21" x14ac:dyDescent="0.35">
      <c r="A52" s="46">
        <v>2026</v>
      </c>
      <c r="B52" s="39" t="s">
        <v>21</v>
      </c>
      <c r="C52" s="38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70">
        <f t="shared" si="2"/>
        <v>0</v>
      </c>
      <c r="P52" s="38"/>
      <c r="Q52" s="30"/>
      <c r="R52" s="40"/>
      <c r="S52" s="51"/>
      <c r="T52" s="40"/>
      <c r="U52" s="67">
        <f t="shared" si="3"/>
        <v>0</v>
      </c>
    </row>
    <row r="53" spans="1:21" x14ac:dyDescent="0.35">
      <c r="A53" s="46">
        <v>2026</v>
      </c>
      <c r="B53" s="39" t="s">
        <v>22</v>
      </c>
      <c r="C53" s="38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70">
        <f t="shared" si="2"/>
        <v>0</v>
      </c>
      <c r="P53" s="38"/>
      <c r="Q53" s="30"/>
      <c r="R53" s="40"/>
      <c r="S53" s="51"/>
      <c r="T53" s="40"/>
      <c r="U53" s="67">
        <f t="shared" si="3"/>
        <v>0</v>
      </c>
    </row>
    <row r="54" spans="1:21" x14ac:dyDescent="0.35">
      <c r="A54" s="46">
        <v>2026</v>
      </c>
      <c r="B54" s="39" t="s">
        <v>14</v>
      </c>
      <c r="C54" s="38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70">
        <f t="shared" si="2"/>
        <v>0</v>
      </c>
      <c r="P54" s="38"/>
      <c r="Q54" s="30"/>
      <c r="R54" s="40"/>
      <c r="S54" s="51"/>
      <c r="T54" s="40"/>
      <c r="U54" s="67">
        <f t="shared" si="3"/>
        <v>0</v>
      </c>
    </row>
    <row r="55" spans="1:21" x14ac:dyDescent="0.35">
      <c r="A55" s="46">
        <v>2027</v>
      </c>
      <c r="B55" s="39" t="s">
        <v>15</v>
      </c>
      <c r="C55" s="38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70">
        <f t="shared" si="2"/>
        <v>0</v>
      </c>
      <c r="P55" s="38"/>
      <c r="Q55" s="30"/>
      <c r="R55" s="40"/>
      <c r="S55" s="51"/>
      <c r="T55" s="40"/>
      <c r="U55" s="67">
        <f t="shared" si="3"/>
        <v>0</v>
      </c>
    </row>
    <row r="56" spans="1:21" x14ac:dyDescent="0.35">
      <c r="A56" s="46">
        <v>2027</v>
      </c>
      <c r="B56" s="39" t="s">
        <v>16</v>
      </c>
      <c r="C56" s="38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70">
        <f t="shared" si="2"/>
        <v>0</v>
      </c>
      <c r="P56" s="38"/>
      <c r="Q56" s="30"/>
      <c r="R56" s="40"/>
      <c r="S56" s="51"/>
      <c r="T56" s="40"/>
      <c r="U56" s="67">
        <f t="shared" si="3"/>
        <v>0</v>
      </c>
    </row>
    <row r="57" spans="1:21" ht="15" thickBot="1" x14ac:dyDescent="0.4">
      <c r="A57" s="47">
        <v>2027</v>
      </c>
      <c r="B57" s="48" t="s">
        <v>17</v>
      </c>
      <c r="C57" s="41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71">
        <f t="shared" si="2"/>
        <v>0</v>
      </c>
      <c r="P57" s="41"/>
      <c r="Q57" s="42"/>
      <c r="R57" s="43"/>
      <c r="S57" s="52"/>
      <c r="T57" s="43"/>
      <c r="U57" s="65">
        <f t="shared" si="3"/>
        <v>0</v>
      </c>
    </row>
    <row r="58" spans="1:21" x14ac:dyDescent="0.35">
      <c r="A58" s="64">
        <v>2027</v>
      </c>
      <c r="B58" s="55" t="s">
        <v>18</v>
      </c>
      <c r="C58" s="56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72">
        <f t="shared" si="2"/>
        <v>0</v>
      </c>
      <c r="P58" s="56"/>
      <c r="Q58" s="58"/>
      <c r="R58" s="59"/>
      <c r="S58" s="60"/>
      <c r="T58" s="59"/>
      <c r="U58" s="66">
        <f t="shared" si="3"/>
        <v>0</v>
      </c>
    </row>
    <row r="59" spans="1:21" x14ac:dyDescent="0.35">
      <c r="A59" s="46">
        <v>2027</v>
      </c>
      <c r="B59" s="39" t="s">
        <v>19</v>
      </c>
      <c r="C59" s="38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70">
        <f t="shared" si="2"/>
        <v>0</v>
      </c>
      <c r="P59" s="38"/>
      <c r="Q59" s="30"/>
      <c r="R59" s="40"/>
      <c r="S59" s="51"/>
      <c r="T59" s="40"/>
      <c r="U59" s="67">
        <f t="shared" si="3"/>
        <v>0</v>
      </c>
    </row>
    <row r="60" spans="1:21" x14ac:dyDescent="0.35">
      <c r="A60" s="46">
        <v>2027</v>
      </c>
      <c r="B60" s="39" t="s">
        <v>20</v>
      </c>
      <c r="C60" s="38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70">
        <f t="shared" si="2"/>
        <v>0</v>
      </c>
      <c r="P60" s="38"/>
      <c r="Q60" s="30"/>
      <c r="R60" s="40"/>
      <c r="S60" s="51"/>
      <c r="T60" s="40"/>
      <c r="U60" s="67">
        <f t="shared" si="3"/>
        <v>0</v>
      </c>
    </row>
    <row r="61" spans="1:21" x14ac:dyDescent="0.35">
      <c r="A61" s="46">
        <v>2027</v>
      </c>
      <c r="B61" s="39" t="s">
        <v>10</v>
      </c>
      <c r="C61" s="38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70">
        <f t="shared" si="2"/>
        <v>0</v>
      </c>
      <c r="P61" s="38"/>
      <c r="Q61" s="30"/>
      <c r="R61" s="40"/>
      <c r="S61" s="51"/>
      <c r="T61" s="40"/>
      <c r="U61" s="67">
        <f t="shared" si="3"/>
        <v>0</v>
      </c>
    </row>
    <row r="62" spans="1:21" x14ac:dyDescent="0.35">
      <c r="A62" s="46">
        <v>2027</v>
      </c>
      <c r="B62" s="39" t="s">
        <v>12</v>
      </c>
      <c r="C62" s="38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70">
        <f t="shared" si="2"/>
        <v>0</v>
      </c>
      <c r="P62" s="38"/>
      <c r="Q62" s="30"/>
      <c r="R62" s="40"/>
      <c r="S62" s="51"/>
      <c r="T62" s="40"/>
      <c r="U62" s="67">
        <f t="shared" si="3"/>
        <v>0</v>
      </c>
    </row>
    <row r="63" spans="1:21" x14ac:dyDescent="0.35">
      <c r="A63" s="46">
        <v>2027</v>
      </c>
      <c r="B63" s="39" t="s">
        <v>13</v>
      </c>
      <c r="C63" s="38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70">
        <f t="shared" si="2"/>
        <v>0</v>
      </c>
      <c r="P63" s="38"/>
      <c r="Q63" s="30"/>
      <c r="R63" s="40"/>
      <c r="S63" s="51"/>
      <c r="T63" s="40"/>
      <c r="U63" s="67">
        <f t="shared" si="3"/>
        <v>0</v>
      </c>
    </row>
    <row r="64" spans="1:21" x14ac:dyDescent="0.35">
      <c r="A64" s="46">
        <v>2027</v>
      </c>
      <c r="B64" s="39" t="s">
        <v>21</v>
      </c>
      <c r="C64" s="38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70">
        <f t="shared" si="2"/>
        <v>0</v>
      </c>
      <c r="P64" s="38"/>
      <c r="Q64" s="30"/>
      <c r="R64" s="40"/>
      <c r="S64" s="51"/>
      <c r="T64" s="40"/>
      <c r="U64" s="67">
        <f t="shared" si="3"/>
        <v>0</v>
      </c>
    </row>
    <row r="65" spans="1:21" x14ac:dyDescent="0.35">
      <c r="A65" s="46">
        <v>2027</v>
      </c>
      <c r="B65" s="39" t="s">
        <v>22</v>
      </c>
      <c r="C65" s="38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70">
        <f t="shared" si="2"/>
        <v>0</v>
      </c>
      <c r="P65" s="38"/>
      <c r="Q65" s="30"/>
      <c r="R65" s="40"/>
      <c r="S65" s="51"/>
      <c r="T65" s="40"/>
      <c r="U65" s="67">
        <f t="shared" si="3"/>
        <v>0</v>
      </c>
    </row>
    <row r="66" spans="1:21" x14ac:dyDescent="0.35">
      <c r="A66" s="46">
        <v>2027</v>
      </c>
      <c r="B66" s="39" t="s">
        <v>14</v>
      </c>
      <c r="C66" s="38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70">
        <f t="shared" si="2"/>
        <v>0</v>
      </c>
      <c r="P66" s="38"/>
      <c r="Q66" s="30"/>
      <c r="R66" s="40"/>
      <c r="S66" s="51"/>
      <c r="T66" s="40"/>
      <c r="U66" s="67">
        <f t="shared" si="3"/>
        <v>0</v>
      </c>
    </row>
    <row r="67" spans="1:21" x14ac:dyDescent="0.35">
      <c r="A67" s="46">
        <v>2028</v>
      </c>
      <c r="B67" s="39" t="s">
        <v>15</v>
      </c>
      <c r="C67" s="38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70">
        <f t="shared" si="2"/>
        <v>0</v>
      </c>
      <c r="P67" s="38"/>
      <c r="Q67" s="30"/>
      <c r="R67" s="40"/>
      <c r="S67" s="51"/>
      <c r="T67" s="40"/>
      <c r="U67" s="67">
        <f t="shared" ref="U67:U69" si="4">O67-SUM(P67:R67)</f>
        <v>0</v>
      </c>
    </row>
    <row r="68" spans="1:21" x14ac:dyDescent="0.35">
      <c r="A68" s="46">
        <v>2028</v>
      </c>
      <c r="B68" s="39" t="s">
        <v>16</v>
      </c>
      <c r="C68" s="38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70">
        <f t="shared" si="2"/>
        <v>0</v>
      </c>
      <c r="P68" s="38"/>
      <c r="Q68" s="30"/>
      <c r="R68" s="40"/>
      <c r="S68" s="51"/>
      <c r="T68" s="40"/>
      <c r="U68" s="67">
        <f t="shared" si="4"/>
        <v>0</v>
      </c>
    </row>
    <row r="69" spans="1:21" ht="15" thickBot="1" x14ac:dyDescent="0.4">
      <c r="A69" s="47">
        <v>2028</v>
      </c>
      <c r="B69" s="48" t="s">
        <v>17</v>
      </c>
      <c r="C69" s="41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71">
        <f t="shared" si="2"/>
        <v>0</v>
      </c>
      <c r="P69" s="41"/>
      <c r="Q69" s="42"/>
      <c r="R69" s="43"/>
      <c r="S69" s="52"/>
      <c r="T69" s="43"/>
      <c r="U69" s="65">
        <f t="shared" si="4"/>
        <v>0</v>
      </c>
    </row>
  </sheetData>
  <mergeCells count="7">
    <mergeCell ref="A1:A2"/>
    <mergeCell ref="B1:B2"/>
    <mergeCell ref="C1:O1"/>
    <mergeCell ref="U1:U2"/>
    <mergeCell ref="S1:S2"/>
    <mergeCell ref="T1:T2"/>
    <mergeCell ref="P1:R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tabSelected="1" topLeftCell="P1" workbookViewId="0">
      <selection activeCell="V15" sqref="V15"/>
    </sheetView>
  </sheetViews>
  <sheetFormatPr defaultColWidth="14.453125" defaultRowHeight="15" customHeight="1" x14ac:dyDescent="0.35"/>
  <cols>
    <col min="1" max="1" width="6" customWidth="1"/>
    <col min="2" max="2" width="11.26953125" customWidth="1"/>
    <col min="3" max="3" width="12.7265625" customWidth="1"/>
    <col min="4" max="4" width="12.453125" customWidth="1"/>
    <col min="5" max="5" width="8.26953125" customWidth="1"/>
    <col min="6" max="6" width="11.7265625" customWidth="1"/>
    <col min="7" max="7" width="5" customWidth="1"/>
    <col min="8" max="8" width="9.26953125" customWidth="1"/>
    <col min="9" max="9" width="17.26953125" customWidth="1"/>
    <col min="10" max="10" width="11" customWidth="1"/>
    <col min="11" max="11" width="23" customWidth="1"/>
    <col min="12" max="12" width="15.08984375" customWidth="1"/>
    <col min="13" max="14" width="15.81640625" customWidth="1"/>
    <col min="15" max="15" width="9" customWidth="1"/>
    <col min="16" max="16" width="29.81640625" customWidth="1"/>
    <col min="17" max="17" width="7.08984375" customWidth="1"/>
    <col min="18" max="18" width="15.54296875" customWidth="1"/>
    <col min="19" max="19" width="19.7265625" customWidth="1"/>
    <col min="20" max="20" width="12.26953125" customWidth="1"/>
    <col min="21" max="21" width="16.7265625" customWidth="1"/>
    <col min="22" max="27" width="14" customWidth="1"/>
  </cols>
  <sheetData>
    <row r="1" spans="1:21" ht="31.5" customHeight="1" x14ac:dyDescent="0.35">
      <c r="A1" s="5" t="s">
        <v>0</v>
      </c>
      <c r="B1" s="35" t="s">
        <v>141</v>
      </c>
      <c r="C1" s="5" t="s">
        <v>23</v>
      </c>
      <c r="D1" s="5" t="s">
        <v>24</v>
      </c>
      <c r="E1" s="5" t="s">
        <v>25</v>
      </c>
      <c r="F1" s="5" t="s">
        <v>26</v>
      </c>
      <c r="H1" s="6" t="s">
        <v>27</v>
      </c>
      <c r="I1" s="6" t="s">
        <v>4</v>
      </c>
      <c r="J1" s="49" t="s">
        <v>141</v>
      </c>
      <c r="K1" s="7" t="s">
        <v>28</v>
      </c>
      <c r="L1" s="49" t="s">
        <v>152</v>
      </c>
      <c r="M1" s="6" t="s">
        <v>29</v>
      </c>
      <c r="N1" s="49" t="s">
        <v>7</v>
      </c>
      <c r="O1" s="7" t="s">
        <v>30</v>
      </c>
      <c r="P1" s="98" t="s">
        <v>153</v>
      </c>
      <c r="R1" s="8" t="s">
        <v>31</v>
      </c>
      <c r="S1" s="8" t="s">
        <v>32</v>
      </c>
      <c r="T1" s="8" t="s">
        <v>33</v>
      </c>
      <c r="U1" s="8" t="s">
        <v>34</v>
      </c>
    </row>
    <row r="2" spans="1:21" ht="18.75" customHeight="1" x14ac:dyDescent="0.35">
      <c r="A2" s="2">
        <v>2023</v>
      </c>
      <c r="B2" s="9">
        <f>SUM(Salary!U14:U18)</f>
        <v>200563</v>
      </c>
      <c r="C2" s="3">
        <f>SUM(Salary!P14:P18)</f>
        <v>9000</v>
      </c>
      <c r="D2" s="3">
        <f>SUM(Salary!S14:S18)</f>
        <v>5766</v>
      </c>
      <c r="E2" s="3">
        <f t="shared" ref="E2:E5" si="0">SUM(C2,D2)</f>
        <v>14766</v>
      </c>
      <c r="F2" s="10">
        <f t="shared" ref="F2:F5" si="1">SUM(B2,E2)</f>
        <v>215329</v>
      </c>
      <c r="H2" s="4" t="s">
        <v>35</v>
      </c>
      <c r="I2" s="4" t="s">
        <v>11</v>
      </c>
      <c r="J2" s="4"/>
      <c r="K2" s="4"/>
      <c r="L2" s="4"/>
      <c r="M2" s="2"/>
      <c r="N2" s="2"/>
      <c r="O2" s="11"/>
      <c r="P2" s="11">
        <f>SUM(Salary!U3:U13)</f>
        <v>190367</v>
      </c>
      <c r="R2" s="12" t="s">
        <v>36</v>
      </c>
      <c r="S2" s="12" t="s">
        <v>37</v>
      </c>
      <c r="T2" s="12" t="s">
        <v>38</v>
      </c>
      <c r="U2" s="11">
        <f>SUM(Salary!O14:O21)+SUM(Salary!S14:S21)+SUM(Salary!T14:T21)</f>
        <v>366130</v>
      </c>
    </row>
    <row r="3" spans="1:21" ht="20.25" customHeight="1" x14ac:dyDescent="0.35">
      <c r="A3" s="2">
        <v>2024</v>
      </c>
      <c r="B3" s="9">
        <f>SUM(Salary!U19:U30)</f>
        <v>538044.41</v>
      </c>
      <c r="C3" s="3">
        <f>SUM(Salary!P19:P30)</f>
        <v>21600</v>
      </c>
      <c r="D3" s="3">
        <f>SUM(Salary!S19:S30)</f>
        <v>30100</v>
      </c>
      <c r="E3" s="3">
        <f t="shared" si="0"/>
        <v>51700</v>
      </c>
      <c r="F3" s="10">
        <f t="shared" si="1"/>
        <v>589744.41</v>
      </c>
      <c r="H3" s="4" t="s">
        <v>35</v>
      </c>
      <c r="I3" s="4" t="s">
        <v>39</v>
      </c>
      <c r="J3" s="11">
        <f>SUM(Salary!U14:U42)</f>
        <v>1362294.08</v>
      </c>
      <c r="K3" s="11">
        <f>SUM(Salary!P14:P42, Salary!S14:S42)</f>
        <v>116626</v>
      </c>
      <c r="L3" s="11">
        <f t="shared" ref="L3:L5" si="2">SUM(J3,K3)</f>
        <v>1478920.08</v>
      </c>
      <c r="M3" s="13">
        <f>SUM(Salary!Q14:Q42)</f>
        <v>5800</v>
      </c>
      <c r="N3" s="99">
        <v>0</v>
      </c>
      <c r="O3" s="13">
        <f>SUM(Salary!T12:T42)</f>
        <v>12500</v>
      </c>
      <c r="P3" s="11">
        <f t="shared" ref="P3:P5" si="3">SUM(L3,O3)</f>
        <v>1491420.08</v>
      </c>
      <c r="R3" s="12" t="s">
        <v>40</v>
      </c>
      <c r="S3" s="12" t="s">
        <v>41</v>
      </c>
      <c r="T3" s="12" t="s">
        <v>36</v>
      </c>
      <c r="U3" s="11">
        <f>SUM(Salary!O22:O33)+SUM(Salary!S22:S33)+SUM(Salary!T22:T33)</f>
        <v>616968.74</v>
      </c>
    </row>
    <row r="4" spans="1:21" ht="18.75" customHeight="1" x14ac:dyDescent="0.35">
      <c r="A4" s="2">
        <v>2025</v>
      </c>
      <c r="B4" s="9">
        <f>SUM(Salary!U31:U42)</f>
        <v>623686.67000000004</v>
      </c>
      <c r="C4" s="3">
        <f>SUM(Salary!P31:P42)</f>
        <v>23625</v>
      </c>
      <c r="D4" s="3">
        <f>SUM(Salary!S31:S42)</f>
        <v>26535</v>
      </c>
      <c r="E4" s="3">
        <f t="shared" si="0"/>
        <v>50160</v>
      </c>
      <c r="F4" s="10">
        <f t="shared" si="1"/>
        <v>673846.67</v>
      </c>
      <c r="H4" s="4" t="s">
        <v>42</v>
      </c>
      <c r="I4" s="4" t="s">
        <v>39</v>
      </c>
      <c r="J4" s="11">
        <f>SUM(Salary!U43:U47)</f>
        <v>419244</v>
      </c>
      <c r="K4" s="13">
        <f>SUM(Salary!P43:P47, Salary!S43:S47)</f>
        <v>27397</v>
      </c>
      <c r="L4" s="11">
        <f t="shared" si="2"/>
        <v>446641</v>
      </c>
      <c r="M4" s="13">
        <f>SUM(Salary!Q43:Q47)</f>
        <v>1000</v>
      </c>
      <c r="N4" s="99">
        <v>0</v>
      </c>
      <c r="O4" s="13">
        <f>SUM(Salary!T43:T47)</f>
        <v>5241</v>
      </c>
      <c r="P4" s="11">
        <f t="shared" si="3"/>
        <v>451882</v>
      </c>
      <c r="R4" s="12" t="s">
        <v>43</v>
      </c>
      <c r="S4" s="12" t="s">
        <v>44</v>
      </c>
      <c r="T4" s="12" t="s">
        <v>40</v>
      </c>
      <c r="U4" s="11">
        <f>SUM(Salary!O34:O45)</f>
        <v>763482.34</v>
      </c>
    </row>
    <row r="5" spans="1:21" ht="14.25" customHeight="1" x14ac:dyDescent="0.35">
      <c r="A5" s="2">
        <v>2026</v>
      </c>
      <c r="B5" s="9">
        <f>SUM(Salary!U43:U54)</f>
        <v>419244</v>
      </c>
      <c r="C5" s="3">
        <f>SUM(Salary!P43:P54)</f>
        <v>17939</v>
      </c>
      <c r="D5" s="3">
        <f>SUM(Salary!S43:S54)</f>
        <v>9458</v>
      </c>
      <c r="E5" s="3">
        <f t="shared" si="0"/>
        <v>27397</v>
      </c>
      <c r="F5" s="10">
        <f t="shared" si="1"/>
        <v>446641</v>
      </c>
      <c r="H5" s="4" t="s">
        <v>45</v>
      </c>
      <c r="I5" s="4" t="s">
        <v>39</v>
      </c>
      <c r="J5" s="11">
        <f>SUM(Salary!U48:U69)</f>
        <v>0</v>
      </c>
      <c r="K5" s="13">
        <f>SUM(Salary!P48:P69, Salary!S48:S69)</f>
        <v>0</v>
      </c>
      <c r="L5" s="11">
        <f t="shared" si="2"/>
        <v>0</v>
      </c>
      <c r="M5" s="13">
        <f>SUM(Salary!Q48:Q69)</f>
        <v>0</v>
      </c>
      <c r="N5" s="11"/>
      <c r="O5" s="13">
        <f>SUM(Salary!T48:T69)</f>
        <v>0</v>
      </c>
      <c r="P5" s="11">
        <f t="shared" si="3"/>
        <v>0</v>
      </c>
      <c r="R5" s="12" t="s">
        <v>46</v>
      </c>
      <c r="S5" s="12" t="s">
        <v>47</v>
      </c>
      <c r="T5" s="12" t="s">
        <v>43</v>
      </c>
      <c r="U5" s="11">
        <f>SUM(Salary!O46:O57)</f>
        <v>165422</v>
      </c>
    </row>
    <row r="6" spans="1:21" ht="14.25" customHeight="1" x14ac:dyDescent="0.35">
      <c r="A6" s="2">
        <v>2027</v>
      </c>
      <c r="B6" s="4"/>
      <c r="C6" s="4"/>
      <c r="D6" s="4"/>
      <c r="E6" s="4"/>
      <c r="F6" s="4"/>
      <c r="H6" s="4"/>
      <c r="I6" s="4"/>
      <c r="J6" s="4"/>
      <c r="K6" s="4"/>
      <c r="L6" s="4"/>
      <c r="M6" s="4"/>
      <c r="N6" s="11"/>
      <c r="O6" s="4"/>
      <c r="P6" s="4"/>
    </row>
    <row r="7" spans="1:21" ht="14.25" customHeight="1" x14ac:dyDescent="0.35">
      <c r="A7" s="2">
        <v>2028</v>
      </c>
      <c r="B7" s="4"/>
      <c r="C7" s="4"/>
      <c r="D7" s="4"/>
      <c r="E7" s="4"/>
      <c r="F7" s="4"/>
      <c r="H7" s="4"/>
      <c r="I7" s="4"/>
      <c r="J7" s="4"/>
      <c r="K7" s="4"/>
      <c r="L7" s="4"/>
      <c r="M7" s="4"/>
      <c r="N7" s="11"/>
      <c r="O7" s="4"/>
      <c r="P7" s="4"/>
    </row>
    <row r="8" spans="1:21" ht="14.25" customHeight="1" x14ac:dyDescent="0.35">
      <c r="A8" s="2">
        <v>2029</v>
      </c>
      <c r="B8" s="4"/>
      <c r="C8" s="4"/>
      <c r="D8" s="4"/>
      <c r="E8" s="4"/>
      <c r="F8" s="4"/>
      <c r="H8" s="4"/>
      <c r="I8" s="4"/>
      <c r="J8" s="4"/>
      <c r="K8" s="4"/>
      <c r="L8" s="4"/>
      <c r="M8" s="4"/>
      <c r="N8" s="11"/>
      <c r="O8" s="4"/>
      <c r="P8" s="4"/>
    </row>
    <row r="9" spans="1:21" ht="14.25" customHeight="1" x14ac:dyDescent="0.35">
      <c r="A9" s="2">
        <v>2030</v>
      </c>
      <c r="B9" s="4"/>
      <c r="C9" s="4"/>
      <c r="D9" s="4"/>
      <c r="E9" s="4"/>
      <c r="F9" s="4"/>
      <c r="H9" s="121" t="s">
        <v>48</v>
      </c>
      <c r="I9" s="105"/>
      <c r="J9" s="11">
        <f t="shared" ref="J9:P9" si="4">SUM(J2:J8)</f>
        <v>1781538.08</v>
      </c>
      <c r="K9" s="11">
        <f t="shared" si="4"/>
        <v>144023</v>
      </c>
      <c r="L9" s="11">
        <f t="shared" si="4"/>
        <v>1925561.08</v>
      </c>
      <c r="M9" s="13">
        <f t="shared" si="4"/>
        <v>6800</v>
      </c>
      <c r="N9" s="11"/>
      <c r="O9" s="13">
        <f t="shared" si="4"/>
        <v>17741</v>
      </c>
      <c r="P9" s="11">
        <f t="shared" si="4"/>
        <v>2133669.08</v>
      </c>
    </row>
    <row r="10" spans="1:21" ht="14.25" customHeight="1" x14ac:dyDescent="0.35"/>
    <row r="11" spans="1:21" ht="14.25" customHeight="1" x14ac:dyDescent="0.35"/>
    <row r="12" spans="1:21" ht="14.25" customHeight="1" x14ac:dyDescent="0.35"/>
    <row r="13" spans="1:21" ht="14.25" customHeight="1" x14ac:dyDescent="0.35"/>
    <row r="14" spans="1:21" ht="14.25" customHeight="1" x14ac:dyDescent="0.35"/>
    <row r="15" spans="1:21" ht="14.25" customHeight="1" x14ac:dyDescent="0.35"/>
    <row r="16" spans="1:21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H9:I9"/>
  </mergeCells>
  <pageMargins left="0.75" right="0.75" top="1" bottom="1" header="0" footer="0"/>
  <pageSetup paperSize="9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Z1000"/>
  <sheetViews>
    <sheetView workbookViewId="0"/>
  </sheetViews>
  <sheetFormatPr defaultColWidth="14.453125" defaultRowHeight="15" customHeight="1" x14ac:dyDescent="0.35"/>
  <cols>
    <col min="1" max="1" width="9" customWidth="1"/>
    <col min="2" max="2" width="20.26953125" customWidth="1"/>
    <col min="3" max="3" width="8.26953125" customWidth="1"/>
    <col min="4" max="4" width="35.54296875" customWidth="1"/>
    <col min="5" max="5" width="21.54296875" customWidth="1"/>
    <col min="6" max="6" width="11.81640625" customWidth="1"/>
    <col min="7" max="7" width="10.26953125" customWidth="1"/>
    <col min="8" max="8" width="15.08984375" customWidth="1"/>
    <col min="9" max="10" width="14" customWidth="1"/>
    <col min="11" max="11" width="10.54296875" customWidth="1"/>
    <col min="12" max="12" width="8.54296875" customWidth="1"/>
    <col min="13" max="13" width="6.453125" customWidth="1"/>
    <col min="14" max="14" width="8.08984375" customWidth="1"/>
    <col min="15" max="15" width="9.54296875" customWidth="1"/>
    <col min="16" max="16" width="10.7265625" customWidth="1"/>
    <col min="17" max="17" width="12.453125" customWidth="1"/>
    <col min="18" max="18" width="9.453125" customWidth="1"/>
    <col min="19" max="19" width="10.453125" customWidth="1"/>
    <col min="20" max="20" width="7" customWidth="1"/>
    <col min="21" max="21" width="8.54296875" customWidth="1"/>
    <col min="22" max="22" width="12.08984375" customWidth="1"/>
    <col min="23" max="23" width="11.81640625" customWidth="1"/>
    <col min="24" max="24" width="12" customWidth="1"/>
    <col min="25" max="25" width="8.26953125" customWidth="1"/>
    <col min="26" max="26" width="14" customWidth="1"/>
  </cols>
  <sheetData>
    <row r="3" spans="2:26" ht="14.5" x14ac:dyDescent="0.35">
      <c r="B3" s="123" t="s">
        <v>49</v>
      </c>
      <c r="C3" s="124"/>
      <c r="D3" s="124"/>
      <c r="E3" s="125"/>
      <c r="F3" s="129" t="s">
        <v>50</v>
      </c>
      <c r="G3" s="129" t="s">
        <v>51</v>
      </c>
      <c r="H3" s="129" t="s">
        <v>52</v>
      </c>
      <c r="I3" s="129" t="s">
        <v>53</v>
      </c>
      <c r="J3" s="129" t="s">
        <v>54</v>
      </c>
      <c r="K3" s="122" t="s">
        <v>55</v>
      </c>
      <c r="L3" s="104"/>
      <c r="M3" s="105"/>
      <c r="N3" s="129" t="s">
        <v>56</v>
      </c>
      <c r="O3" s="123" t="s">
        <v>57</v>
      </c>
      <c r="P3" s="125"/>
      <c r="Q3" s="123" t="s">
        <v>58</v>
      </c>
      <c r="R3" s="124"/>
      <c r="S3" s="124"/>
      <c r="T3" s="124"/>
      <c r="U3" s="125"/>
      <c r="V3" s="123" t="s">
        <v>59</v>
      </c>
      <c r="W3" s="124"/>
      <c r="X3" s="124"/>
      <c r="Y3" s="124"/>
      <c r="Z3" s="125"/>
    </row>
    <row r="4" spans="2:26" ht="14.5" x14ac:dyDescent="0.35">
      <c r="B4" s="126"/>
      <c r="C4" s="127"/>
      <c r="D4" s="127"/>
      <c r="E4" s="128"/>
      <c r="F4" s="107"/>
      <c r="G4" s="107"/>
      <c r="H4" s="107"/>
      <c r="I4" s="107"/>
      <c r="J4" s="107"/>
      <c r="K4" s="129" t="s">
        <v>60</v>
      </c>
      <c r="L4" s="122" t="s">
        <v>61</v>
      </c>
      <c r="M4" s="105"/>
      <c r="N4" s="107"/>
      <c r="O4" s="126"/>
      <c r="P4" s="128"/>
      <c r="Q4" s="126"/>
      <c r="R4" s="127"/>
      <c r="S4" s="127"/>
      <c r="T4" s="127"/>
      <c r="U4" s="128"/>
      <c r="V4" s="126"/>
      <c r="W4" s="127"/>
      <c r="X4" s="127"/>
      <c r="Y4" s="127"/>
      <c r="Z4" s="128"/>
    </row>
    <row r="5" spans="2:26" ht="14.5" x14ac:dyDescent="0.35">
      <c r="B5" s="14" t="s">
        <v>62</v>
      </c>
      <c r="C5" s="14" t="s">
        <v>63</v>
      </c>
      <c r="D5" s="14" t="s">
        <v>64</v>
      </c>
      <c r="E5" s="14" t="s">
        <v>65</v>
      </c>
      <c r="F5" s="102"/>
      <c r="G5" s="102"/>
      <c r="H5" s="102"/>
      <c r="I5" s="102"/>
      <c r="J5" s="102"/>
      <c r="K5" s="102"/>
      <c r="L5" s="15" t="s">
        <v>66</v>
      </c>
      <c r="M5" s="15" t="s">
        <v>67</v>
      </c>
      <c r="N5" s="102"/>
      <c r="O5" s="15" t="s">
        <v>68</v>
      </c>
      <c r="P5" s="15" t="s">
        <v>69</v>
      </c>
      <c r="Q5" s="15" t="s">
        <v>66</v>
      </c>
      <c r="R5" s="15" t="s">
        <v>70</v>
      </c>
      <c r="S5" s="15" t="s">
        <v>71</v>
      </c>
      <c r="T5" s="15" t="s">
        <v>67</v>
      </c>
      <c r="U5" s="15" t="s">
        <v>48</v>
      </c>
      <c r="V5" s="15" t="s">
        <v>66</v>
      </c>
      <c r="W5" s="15" t="s">
        <v>70</v>
      </c>
      <c r="X5" s="15" t="s">
        <v>71</v>
      </c>
      <c r="Y5" s="15" t="s">
        <v>67</v>
      </c>
      <c r="Z5" s="15" t="s">
        <v>72</v>
      </c>
    </row>
    <row r="6" spans="2:26" ht="14.5" x14ac:dyDescent="0.35">
      <c r="B6" s="4" t="s">
        <v>73</v>
      </c>
      <c r="C6" s="4" t="s">
        <v>74</v>
      </c>
      <c r="D6" s="4" t="s">
        <v>75</v>
      </c>
      <c r="E6" s="12" t="s">
        <v>76</v>
      </c>
      <c r="F6" s="2">
        <v>22</v>
      </c>
      <c r="G6" s="2">
        <v>45</v>
      </c>
      <c r="H6" s="16">
        <v>45429</v>
      </c>
      <c r="I6" s="17">
        <v>53448</v>
      </c>
      <c r="J6" s="18">
        <v>53484</v>
      </c>
      <c r="K6" s="2" t="s">
        <v>77</v>
      </c>
      <c r="L6" s="2">
        <v>0.59</v>
      </c>
      <c r="M6" s="2">
        <v>7.35</v>
      </c>
      <c r="N6" s="2" t="s">
        <v>78</v>
      </c>
      <c r="O6" s="2" t="s">
        <v>79</v>
      </c>
      <c r="P6" s="2" t="s">
        <v>80</v>
      </c>
      <c r="Q6" s="3">
        <v>3550</v>
      </c>
      <c r="R6" s="3">
        <f>Q6*3</f>
        <v>10650</v>
      </c>
      <c r="S6" s="3">
        <f>Q6*6</f>
        <v>21300</v>
      </c>
      <c r="T6" s="3">
        <f>Q6*12</f>
        <v>42600</v>
      </c>
      <c r="U6" s="2" t="s">
        <v>81</v>
      </c>
      <c r="V6" s="3"/>
      <c r="W6" s="3"/>
      <c r="X6" s="3"/>
      <c r="Y6" s="2"/>
      <c r="Z6" s="19" t="s">
        <v>82</v>
      </c>
    </row>
    <row r="7" spans="2:26" ht="14.5" x14ac:dyDescent="0.35">
      <c r="B7" s="4" t="s">
        <v>73</v>
      </c>
      <c r="C7" s="4" t="s">
        <v>74</v>
      </c>
      <c r="D7" s="4" t="s">
        <v>83</v>
      </c>
      <c r="E7" s="12" t="s">
        <v>84</v>
      </c>
      <c r="F7" s="2">
        <v>23</v>
      </c>
      <c r="G7" s="2">
        <v>46</v>
      </c>
      <c r="H7" s="20">
        <v>45733</v>
      </c>
      <c r="I7" s="20">
        <v>53768</v>
      </c>
      <c r="J7" s="20">
        <v>54134</v>
      </c>
      <c r="K7" s="2" t="s">
        <v>77</v>
      </c>
      <c r="L7" s="2">
        <v>0.48</v>
      </c>
      <c r="M7" s="2">
        <v>5.95</v>
      </c>
      <c r="N7" s="2" t="s">
        <v>85</v>
      </c>
      <c r="O7" s="2" t="s">
        <v>86</v>
      </c>
      <c r="P7" s="2" t="s">
        <v>87</v>
      </c>
      <c r="Q7" s="21">
        <f>T7/12</f>
        <v>2093.5</v>
      </c>
      <c r="R7" s="3">
        <f>T7/3</f>
        <v>8374</v>
      </c>
      <c r="S7" s="3">
        <f>T7/2</f>
        <v>12561</v>
      </c>
      <c r="T7" s="3">
        <v>25122</v>
      </c>
      <c r="U7" s="2" t="s">
        <v>88</v>
      </c>
      <c r="V7" s="2"/>
      <c r="W7" s="2"/>
      <c r="X7" s="2"/>
      <c r="Y7" s="3"/>
      <c r="Z7" s="19" t="s">
        <v>89</v>
      </c>
    </row>
    <row r="8" spans="2:26" ht="14.5" x14ac:dyDescent="0.35">
      <c r="B8" s="4" t="s">
        <v>90</v>
      </c>
      <c r="C8" s="4" t="s">
        <v>91</v>
      </c>
      <c r="D8" s="4" t="s">
        <v>83</v>
      </c>
      <c r="E8" s="12" t="s">
        <v>84</v>
      </c>
      <c r="F8" s="2">
        <v>46</v>
      </c>
      <c r="G8" s="2">
        <v>62</v>
      </c>
      <c r="H8" s="20">
        <v>42641</v>
      </c>
      <c r="I8" s="20">
        <v>48301</v>
      </c>
      <c r="J8" s="20">
        <v>6695898</v>
      </c>
      <c r="K8" s="2" t="s">
        <v>77</v>
      </c>
      <c r="L8" s="2">
        <v>0.48</v>
      </c>
      <c r="M8" s="2">
        <v>2.5099999999999998</v>
      </c>
      <c r="N8" s="2" t="s">
        <v>92</v>
      </c>
      <c r="O8" s="2" t="s">
        <v>93</v>
      </c>
      <c r="P8" s="2" t="s">
        <v>87</v>
      </c>
      <c r="Q8" s="21">
        <f>S8/6</f>
        <v>729.33333333333337</v>
      </c>
      <c r="R8" s="3">
        <f>S8/2</f>
        <v>2188</v>
      </c>
      <c r="S8" s="3">
        <v>4376</v>
      </c>
      <c r="T8" s="3">
        <f>S8*2</f>
        <v>8752</v>
      </c>
      <c r="U8" s="2" t="s">
        <v>94</v>
      </c>
      <c r="V8" s="2"/>
      <c r="W8" s="2"/>
      <c r="X8" s="2"/>
      <c r="Y8" s="3"/>
      <c r="Z8" s="19" t="s">
        <v>95</v>
      </c>
    </row>
    <row r="9" spans="2:26" ht="14.5" x14ac:dyDescent="0.35">
      <c r="B9" s="4" t="s">
        <v>73</v>
      </c>
      <c r="C9" s="4" t="s">
        <v>74</v>
      </c>
      <c r="D9" s="4" t="s">
        <v>96</v>
      </c>
      <c r="E9" s="12" t="s">
        <v>97</v>
      </c>
      <c r="F9" s="2">
        <v>23</v>
      </c>
      <c r="G9" s="2">
        <v>25</v>
      </c>
      <c r="H9" s="20">
        <v>46007</v>
      </c>
      <c r="I9" s="20">
        <v>46737</v>
      </c>
      <c r="J9" s="20">
        <v>46737</v>
      </c>
      <c r="K9" s="2">
        <v>7</v>
      </c>
      <c r="L9" s="2">
        <v>0.57999999999999996</v>
      </c>
      <c r="M9" s="2">
        <v>7.1849999999999996</v>
      </c>
      <c r="N9" s="2" t="s">
        <v>98</v>
      </c>
      <c r="O9" s="2" t="s">
        <v>77</v>
      </c>
      <c r="P9" s="2" t="s">
        <v>77</v>
      </c>
      <c r="Q9" s="130" t="s">
        <v>99</v>
      </c>
      <c r="R9" s="104"/>
      <c r="S9" s="104"/>
      <c r="T9" s="104"/>
      <c r="U9" s="105"/>
      <c r="V9" s="2"/>
      <c r="W9" s="2"/>
      <c r="X9" s="2"/>
      <c r="Y9" s="3">
        <v>21557</v>
      </c>
      <c r="Z9" s="19" t="s">
        <v>99</v>
      </c>
    </row>
    <row r="10" spans="2:26" ht="14.5" x14ac:dyDescent="0.35">
      <c r="B10" s="12" t="s">
        <v>73</v>
      </c>
      <c r="C10" s="12" t="s">
        <v>74</v>
      </c>
      <c r="D10" s="12" t="s">
        <v>100</v>
      </c>
      <c r="E10" s="12" t="s">
        <v>101</v>
      </c>
      <c r="F10" s="2">
        <v>21</v>
      </c>
      <c r="G10" s="2">
        <v>58</v>
      </c>
      <c r="H10" s="20">
        <v>45139</v>
      </c>
      <c r="I10" s="20">
        <v>58441</v>
      </c>
      <c r="J10" s="20">
        <v>58445</v>
      </c>
      <c r="K10" s="2"/>
      <c r="L10" s="2">
        <v>0.68</v>
      </c>
      <c r="M10" s="2">
        <v>8.25</v>
      </c>
      <c r="N10" s="2" t="s">
        <v>102</v>
      </c>
      <c r="O10" s="2" t="s">
        <v>103</v>
      </c>
      <c r="P10" s="2" t="s">
        <v>104</v>
      </c>
      <c r="Q10" s="3">
        <v>3558</v>
      </c>
      <c r="R10" s="2"/>
      <c r="S10" s="2"/>
      <c r="T10" s="2"/>
      <c r="U10" s="2"/>
      <c r="V10" s="2"/>
      <c r="W10" s="2"/>
      <c r="X10" s="2"/>
      <c r="Y10" s="2"/>
      <c r="Z10" s="22">
        <f>FV(8.25%/12,405,-Q10,-Calculations!K9)</f>
        <v>10091211.289408501</v>
      </c>
    </row>
    <row r="21" spans="9:9" ht="15.75" customHeight="1" x14ac:dyDescent="0.35"/>
    <row r="22" spans="9:9" ht="15.75" customHeight="1" x14ac:dyDescent="0.35"/>
    <row r="23" spans="9:9" ht="15.75" customHeight="1" x14ac:dyDescent="0.35"/>
    <row r="24" spans="9:9" ht="15.75" customHeight="1" x14ac:dyDescent="0.35"/>
    <row r="25" spans="9:9" ht="15.75" customHeight="1" x14ac:dyDescent="0.35"/>
    <row r="26" spans="9:9" ht="15.75" customHeight="1" x14ac:dyDescent="0.35"/>
    <row r="27" spans="9:9" ht="15.75" customHeight="1" x14ac:dyDescent="0.35">
      <c r="I27" s="23"/>
    </row>
    <row r="28" spans="9:9" ht="15.75" customHeight="1" x14ac:dyDescent="0.35"/>
    <row r="29" spans="9:9" ht="15.75" customHeight="1" x14ac:dyDescent="0.35"/>
    <row r="30" spans="9:9" ht="15.75" customHeight="1" x14ac:dyDescent="0.35"/>
    <row r="31" spans="9:9" ht="15.75" customHeight="1" x14ac:dyDescent="0.35"/>
    <row r="32" spans="9: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4">
    <mergeCell ref="N3:N5"/>
    <mergeCell ref="O3:P4"/>
    <mergeCell ref="Q3:U4"/>
    <mergeCell ref="V3:Z4"/>
    <mergeCell ref="Q9:U9"/>
    <mergeCell ref="K3:M3"/>
    <mergeCell ref="L4:M4"/>
    <mergeCell ref="B3:E4"/>
    <mergeCell ref="F3:F5"/>
    <mergeCell ref="G3:G5"/>
    <mergeCell ref="H3:H5"/>
    <mergeCell ref="I3:I5"/>
    <mergeCell ref="J3:J5"/>
    <mergeCell ref="K4:K5"/>
  </mergeCells>
  <conditionalFormatting sqref="Z10">
    <cfRule type="notContainsBlanks" dxfId="0" priority="1">
      <formula>LEN(TRIM(Z10))&gt;0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1000"/>
  <sheetViews>
    <sheetView topLeftCell="B1" workbookViewId="0">
      <selection activeCell="G17" sqref="G17"/>
    </sheetView>
  </sheetViews>
  <sheetFormatPr defaultColWidth="14.453125" defaultRowHeight="15" customHeight="1" x14ac:dyDescent="0.35"/>
  <cols>
    <col min="1" max="1" width="6.54296875" customWidth="1"/>
    <col min="2" max="2" width="15.7265625" customWidth="1"/>
    <col min="3" max="3" width="21.26953125" customWidth="1"/>
    <col min="4" max="4" width="11.453125" customWidth="1"/>
    <col min="5" max="5" width="18.453125" customWidth="1"/>
    <col min="6" max="6" width="23.54296875" customWidth="1"/>
    <col min="7" max="7" width="18.08984375" customWidth="1"/>
    <col min="8" max="8" width="11.54296875" customWidth="1"/>
    <col min="9" max="9" width="18" customWidth="1"/>
    <col min="10" max="10" width="14" customWidth="1"/>
    <col min="11" max="11" width="26" customWidth="1"/>
    <col min="12" max="13" width="12.453125" customWidth="1"/>
    <col min="14" max="15" width="24.08984375" customWidth="1"/>
    <col min="16" max="26" width="14" customWidth="1"/>
  </cols>
  <sheetData>
    <row r="1" spans="2:15" ht="14.25" customHeight="1" x14ac:dyDescent="0.35"/>
    <row r="2" spans="2:15" ht="14.25" customHeight="1" x14ac:dyDescent="0.35"/>
    <row r="3" spans="2:15" ht="14.25" customHeight="1" x14ac:dyDescent="0.35">
      <c r="B3" s="101" t="s">
        <v>27</v>
      </c>
      <c r="C3" s="101" t="s">
        <v>105</v>
      </c>
      <c r="D3" s="101" t="s">
        <v>106</v>
      </c>
      <c r="E3" s="101" t="s">
        <v>107</v>
      </c>
      <c r="F3" s="101" t="s">
        <v>108</v>
      </c>
      <c r="G3" s="101" t="s">
        <v>4</v>
      </c>
      <c r="H3" s="101" t="s">
        <v>109</v>
      </c>
      <c r="I3" s="101" t="s">
        <v>110</v>
      </c>
      <c r="J3" s="101" t="s">
        <v>111</v>
      </c>
      <c r="K3" s="101" t="s">
        <v>112</v>
      </c>
      <c r="L3" s="103" t="s">
        <v>113</v>
      </c>
      <c r="M3" s="104"/>
      <c r="N3" s="104"/>
      <c r="O3" s="105"/>
    </row>
    <row r="4" spans="2:15" ht="14.25" customHeight="1" x14ac:dyDescent="0.35"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6" t="s">
        <v>114</v>
      </c>
      <c r="M4" s="6" t="s">
        <v>115</v>
      </c>
      <c r="N4" s="6" t="s">
        <v>48</v>
      </c>
      <c r="O4" s="1" t="s">
        <v>116</v>
      </c>
    </row>
    <row r="5" spans="2:15" ht="14.25" customHeight="1" x14ac:dyDescent="0.35">
      <c r="B5" s="24" t="s">
        <v>35</v>
      </c>
      <c r="C5" s="24" t="s">
        <v>73</v>
      </c>
      <c r="D5" s="24" t="s">
        <v>117</v>
      </c>
      <c r="E5" s="24" t="s">
        <v>118</v>
      </c>
      <c r="F5" s="24" t="s">
        <v>119</v>
      </c>
      <c r="G5" s="4" t="s">
        <v>120</v>
      </c>
      <c r="H5" s="24" t="s">
        <v>121</v>
      </c>
      <c r="I5" s="25" t="s">
        <v>122</v>
      </c>
      <c r="J5" s="24" t="s">
        <v>123</v>
      </c>
      <c r="K5" s="2" t="s">
        <v>77</v>
      </c>
      <c r="L5" s="26">
        <v>44755</v>
      </c>
      <c r="M5" s="26">
        <v>45138</v>
      </c>
      <c r="N5" s="27" t="str">
        <f t="shared" ref="N5:N8" ca="1" si="0">IF(L5&lt;&gt;"",DATEDIF(L5,IF(M5="",TODAY(),M5),"Y")&amp;" Years "&amp;DATEDIF(L5,IF(M5="",TODAY(),M5),"YM")&amp;" Months "&amp;DATEDIF(L5,IF(M5="",TODAY(),M5),"MD")&amp;" Days","")</f>
        <v>1 Years 0 Months 18 Days</v>
      </c>
      <c r="O5" s="106" t="str">
        <f ca="1">IF(L5&lt;&gt;"",DATEDIF(L5,IF(M8="",TODAY(),M8),"Y")&amp;" Years "&amp;DATEDIF(L5,IF(M8="",TODAY(),M8),"YM")&amp;" Months "&amp;DATEDIF(L5,IF(M8="",TODAY(),M8),"MD")&amp;" Days","")</f>
        <v>3 Years 10 Months 24 Days</v>
      </c>
    </row>
    <row r="6" spans="2:15" ht="14.25" customHeight="1" x14ac:dyDescent="0.35">
      <c r="B6" s="24" t="s">
        <v>35</v>
      </c>
      <c r="C6" s="24" t="s">
        <v>73</v>
      </c>
      <c r="D6" s="24" t="s">
        <v>124</v>
      </c>
      <c r="E6" s="24" t="s">
        <v>125</v>
      </c>
      <c r="F6" s="24" t="s">
        <v>126</v>
      </c>
      <c r="G6" s="4" t="s">
        <v>39</v>
      </c>
      <c r="H6" s="24" t="s">
        <v>127</v>
      </c>
      <c r="I6" s="25" t="s">
        <v>128</v>
      </c>
      <c r="J6" s="24" t="s">
        <v>129</v>
      </c>
      <c r="K6" s="4" t="s">
        <v>130</v>
      </c>
      <c r="L6" s="26">
        <v>45139</v>
      </c>
      <c r="M6" s="26">
        <v>46015</v>
      </c>
      <c r="N6" s="27" t="str">
        <f t="shared" ca="1" si="0"/>
        <v>2 Years 4 Months 23 Days</v>
      </c>
      <c r="O6" s="107"/>
    </row>
    <row r="7" spans="2:15" ht="14.25" customHeight="1" x14ac:dyDescent="0.35">
      <c r="B7" s="4" t="s">
        <v>42</v>
      </c>
      <c r="C7" s="4" t="s">
        <v>73</v>
      </c>
      <c r="D7" s="12">
        <v>48274</v>
      </c>
      <c r="E7" s="4" t="s">
        <v>125</v>
      </c>
      <c r="F7" s="4" t="s">
        <v>131</v>
      </c>
      <c r="G7" s="4" t="s">
        <v>39</v>
      </c>
      <c r="H7" s="4" t="s">
        <v>132</v>
      </c>
      <c r="I7" s="100" t="s">
        <v>154</v>
      </c>
      <c r="J7" s="4" t="s">
        <v>133</v>
      </c>
      <c r="K7" s="4" t="s">
        <v>134</v>
      </c>
      <c r="L7" s="26">
        <v>46020</v>
      </c>
      <c r="M7" s="26">
        <v>46170</v>
      </c>
      <c r="N7" s="27" t="str">
        <f t="shared" ca="1" si="0"/>
        <v>0 Years 4 Months 29 Days</v>
      </c>
      <c r="O7" s="107"/>
    </row>
    <row r="8" spans="2:15" ht="14.25" customHeight="1" x14ac:dyDescent="0.35">
      <c r="B8" s="28" t="s">
        <v>135</v>
      </c>
      <c r="C8" s="28" t="s">
        <v>73</v>
      </c>
      <c r="D8" s="28" t="s">
        <v>136</v>
      </c>
      <c r="E8" s="28" t="s">
        <v>125</v>
      </c>
      <c r="F8" s="28" t="s">
        <v>137</v>
      </c>
      <c r="G8" s="28" t="s">
        <v>39</v>
      </c>
      <c r="H8" s="28" t="s">
        <v>132</v>
      </c>
      <c r="I8" s="100" t="s">
        <v>154</v>
      </c>
      <c r="J8" s="4" t="s">
        <v>133</v>
      </c>
      <c r="K8" s="28"/>
      <c r="L8" s="26">
        <v>46174</v>
      </c>
      <c r="M8" s="26">
        <f ca="1">TODAY()</f>
        <v>46179</v>
      </c>
      <c r="N8" s="27" t="str">
        <f t="shared" ca="1" si="0"/>
        <v>0 Years 0 Months 5 Days</v>
      </c>
      <c r="O8" s="102"/>
    </row>
    <row r="9" spans="2:15" ht="14.25" customHeight="1" x14ac:dyDescent="0.35"/>
    <row r="10" spans="2:15" ht="14.25" customHeight="1" x14ac:dyDescent="0.35"/>
    <row r="11" spans="2:15" ht="14.25" customHeight="1" x14ac:dyDescent="0.35"/>
    <row r="12" spans="2:15" ht="14.25" customHeight="1" x14ac:dyDescent="0.35"/>
    <row r="13" spans="2:15" ht="14.25" customHeight="1" x14ac:dyDescent="0.35"/>
    <row r="14" spans="2:15" ht="14.25" customHeight="1" x14ac:dyDescent="0.35"/>
    <row r="15" spans="2:15" ht="14.25" customHeight="1" x14ac:dyDescent="0.35"/>
    <row r="16" spans="2:1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2">
    <mergeCell ref="I3:I4"/>
    <mergeCell ref="J3:J4"/>
    <mergeCell ref="K3:K4"/>
    <mergeCell ref="L3:O3"/>
    <mergeCell ref="O5:O8"/>
    <mergeCell ref="G3:G4"/>
    <mergeCell ref="H3:H4"/>
    <mergeCell ref="B3:B4"/>
    <mergeCell ref="C3:C4"/>
    <mergeCell ref="D3:D4"/>
    <mergeCell ref="E3:E4"/>
    <mergeCell ref="F3:F4"/>
  </mergeCells>
  <pageMargins left="0.75" right="0.75" top="1" bottom="1" header="0" footer="0"/>
  <pageSetup paperSize="9" orientation="landscape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Salary</vt:lpstr>
      <vt:lpstr>Calculations</vt:lpstr>
      <vt:lpstr>Investments</vt:lpstr>
      <vt:lpstr>Employee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pavan.mahanty</dc:creator>
  <cp:lastModifiedBy>Mahanty Pavan - Hyderabad</cp:lastModifiedBy>
  <dcterms:created xsi:type="dcterms:W3CDTF">2025-01-05T03:18:00Z</dcterms:created>
  <dcterms:modified xsi:type="dcterms:W3CDTF">2026-06-06T08:26:00Z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6E61228F8E164239ABAAF783BE9F522C_11</vt:lpwstr>
  </property>
  <property fmtid="{D5CDD505-2E9C-101B-9397-08002B2CF9AE}" pid="3" name="KSOProductBuildVer">
    <vt:lpwstr>1033-12.2.0.23196</vt:lpwstr>
  </property>
</Properties>
</file>